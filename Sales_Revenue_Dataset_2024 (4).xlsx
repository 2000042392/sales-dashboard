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Transactions" sheetId="1" state="visible" r:id="rId3"/>
    <sheet name="Monthly_Summary" sheetId="2" state="visible" r:id="rId4"/>
    <sheet name="Product_Performance" sheetId="3" state="visible" r:id="rId5"/>
    <sheet name="Regional_Analysis" sheetId="4" state="visible" r:id="rId6"/>
    <sheet name="KPI_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<sst xmlns="http://schemas.openxmlformats.org/spreadsheetml/2006/main" count="712" uniqueCount="209">
  <si>
    <t xml:space="preserve">Transaction_ID</t>
  </si>
  <si>
    <t xml:space="preserve">Date</t>
  </si>
  <si>
    <t xml:space="preserve">Month</t>
  </si>
  <si>
    <t xml:space="preserve">Quarter</t>
  </si>
  <si>
    <t xml:space="preserve">Year</t>
  </si>
  <si>
    <t xml:space="preserve">Salesperson</t>
  </si>
  <si>
    <t xml:space="preserve">Region</t>
  </si>
  <si>
    <t xml:space="preserve">Category</t>
  </si>
  <si>
    <t xml:space="preserve">Product</t>
  </si>
  <si>
    <t xml:space="preserve">Units_Sold</t>
  </si>
  <si>
    <t xml:space="preserve">Unit_Price_USD</t>
  </si>
  <si>
    <t xml:space="preserve">Revenue_USD</t>
  </si>
  <si>
    <t xml:space="preserve">Discount_Pct</t>
  </si>
  <si>
    <t xml:space="preserve">Net_Revenue_USD</t>
  </si>
  <si>
    <t xml:space="preserve">COGS_USD</t>
  </si>
  <si>
    <t xml:space="preserve">Gross_Profit_USD</t>
  </si>
  <si>
    <t xml:space="preserve">Gross_Margin_Pct</t>
  </si>
  <si>
    <t xml:space="preserve">Customer_Type</t>
  </si>
  <si>
    <t xml:space="preserve">Order_Status</t>
  </si>
  <si>
    <t xml:space="preserve">TXN-001</t>
  </si>
  <si>
    <t xml:space="preserve">2024-01-05</t>
  </si>
  <si>
    <t xml:space="preserve">January</t>
  </si>
  <si>
    <t xml:space="preserve">Q1</t>
  </si>
  <si>
    <t xml:space="preserve">Alice Johnson</t>
  </si>
  <si>
    <t xml:space="preserve">North</t>
  </si>
  <si>
    <t xml:space="preserve">Electronics</t>
  </si>
  <si>
    <t xml:space="preserve">UltraBook Pro</t>
  </si>
  <si>
    <t xml:space="preserve">5%</t>
  </si>
  <si>
    <t xml:space="preserve">Corporate</t>
  </si>
  <si>
    <t xml:space="preserve">Completed</t>
  </si>
  <si>
    <t xml:space="preserve">TXN-002</t>
  </si>
  <si>
    <t xml:space="preserve">2024-01-12</t>
  </si>
  <si>
    <t xml:space="preserve">Bob Smith</t>
  </si>
  <si>
    <t xml:space="preserve">South</t>
  </si>
  <si>
    <t xml:space="preserve">Apparel</t>
  </si>
  <si>
    <t xml:space="preserve">CasualWear Pack</t>
  </si>
  <si>
    <t xml:space="preserve">0%</t>
  </si>
  <si>
    <t xml:space="preserve">Retail</t>
  </si>
  <si>
    <t xml:space="preserve">TXN-003</t>
  </si>
  <si>
    <t xml:space="preserve">2024-01-18</t>
  </si>
  <si>
    <t xml:space="preserve">Carol Lee</t>
  </si>
  <si>
    <t xml:space="preserve">East</t>
  </si>
  <si>
    <t xml:space="preserve">Home</t>
  </si>
  <si>
    <t xml:space="preserve">HomeComfort Kit</t>
  </si>
  <si>
    <t xml:space="preserve">3%</t>
  </si>
  <si>
    <t xml:space="preserve">TXN-004</t>
  </si>
  <si>
    <t xml:space="preserve">2024-01-25</t>
  </si>
  <si>
    <t xml:space="preserve">David Roy</t>
  </si>
  <si>
    <t xml:space="preserve">West</t>
  </si>
  <si>
    <t xml:space="preserve">Sports</t>
  </si>
  <si>
    <t xml:space="preserve">StormRunner X</t>
  </si>
  <si>
    <t xml:space="preserve">2%</t>
  </si>
  <si>
    <t xml:space="preserve">TXN-005</t>
  </si>
  <si>
    <t xml:space="preserve">2024-02-03</t>
  </si>
  <si>
    <t xml:space="preserve">February</t>
  </si>
  <si>
    <t xml:space="preserve">SmartSpeaker</t>
  </si>
  <si>
    <t xml:space="preserve">TXN-006</t>
  </si>
  <si>
    <t xml:space="preserve">2024-02-10</t>
  </si>
  <si>
    <t xml:space="preserve">TrailBoots</t>
  </si>
  <si>
    <t xml:space="preserve">TXN-007</t>
  </si>
  <si>
    <t xml:space="preserve">2024-02-19</t>
  </si>
  <si>
    <t xml:space="preserve">ActiveShorts</t>
  </si>
  <si>
    <t xml:space="preserve">TXN-008</t>
  </si>
  <si>
    <t xml:space="preserve">2024-02-28</t>
  </si>
  <si>
    <t xml:space="preserve">DeskLamp Plus</t>
  </si>
  <si>
    <t xml:space="preserve">TXN-009</t>
  </si>
  <si>
    <t xml:space="preserve">2024-03-06</t>
  </si>
  <si>
    <t xml:space="preserve">March</t>
  </si>
  <si>
    <t xml:space="preserve">TXN-010</t>
  </si>
  <si>
    <t xml:space="preserve">2024-03-14</t>
  </si>
  <si>
    <t xml:space="preserve">TXN-011</t>
  </si>
  <si>
    <t xml:space="preserve">2024-03-22</t>
  </si>
  <si>
    <t xml:space="preserve">TXN-012</t>
  </si>
  <si>
    <t xml:space="preserve">2024-03-30</t>
  </si>
  <si>
    <t xml:space="preserve">TXN-013</t>
  </si>
  <si>
    <t xml:space="preserve">2024-04-05</t>
  </si>
  <si>
    <t xml:space="preserve">April</t>
  </si>
  <si>
    <t xml:space="preserve">Q2</t>
  </si>
  <si>
    <t xml:space="preserve">TXN-014</t>
  </si>
  <si>
    <t xml:space="preserve">2024-04-15</t>
  </si>
  <si>
    <t xml:space="preserve">TXN-015</t>
  </si>
  <si>
    <t xml:space="preserve">2024-04-22</t>
  </si>
  <si>
    <t xml:space="preserve">TXN-016</t>
  </si>
  <si>
    <t xml:space="preserve">2024-04-29</t>
  </si>
  <si>
    <t xml:space="preserve">TXN-017</t>
  </si>
  <si>
    <t xml:space="preserve">2024-05-08</t>
  </si>
  <si>
    <t xml:space="preserve">May</t>
  </si>
  <si>
    <t xml:space="preserve">TXN-018</t>
  </si>
  <si>
    <t xml:space="preserve">2024-05-16</t>
  </si>
  <si>
    <t xml:space="preserve">TXN-019</t>
  </si>
  <si>
    <t xml:space="preserve">2024-05-24</t>
  </si>
  <si>
    <t xml:space="preserve">TXN-020</t>
  </si>
  <si>
    <t xml:space="preserve">2024-05-31</t>
  </si>
  <si>
    <t xml:space="preserve">TXN-021</t>
  </si>
  <si>
    <t xml:space="preserve">2024-06-07</t>
  </si>
  <si>
    <t xml:space="preserve">June</t>
  </si>
  <si>
    <t xml:space="preserve">TXN-022</t>
  </si>
  <si>
    <t xml:space="preserve">2024-06-14</t>
  </si>
  <si>
    <t xml:space="preserve">TXN-023</t>
  </si>
  <si>
    <t xml:space="preserve">2024-06-21</t>
  </si>
  <si>
    <t xml:space="preserve">TXN-024</t>
  </si>
  <si>
    <t xml:space="preserve">2024-06-28</t>
  </si>
  <si>
    <t xml:space="preserve">TXN-025</t>
  </si>
  <si>
    <t xml:space="preserve">2024-07-05</t>
  </si>
  <si>
    <t xml:space="preserve">July</t>
  </si>
  <si>
    <t xml:space="preserve">Q3</t>
  </si>
  <si>
    <t xml:space="preserve">TXN-026</t>
  </si>
  <si>
    <t xml:space="preserve">2024-07-13</t>
  </si>
  <si>
    <t xml:space="preserve">TXN-027</t>
  </si>
  <si>
    <t xml:space="preserve">2024-07-20</t>
  </si>
  <si>
    <t xml:space="preserve">TXN-028</t>
  </si>
  <si>
    <t xml:space="preserve">2024-07-28</t>
  </si>
  <si>
    <t xml:space="preserve">TXN-029</t>
  </si>
  <si>
    <t xml:space="preserve">2024-08-06</t>
  </si>
  <si>
    <t xml:space="preserve">August</t>
  </si>
  <si>
    <t xml:space="preserve">TXN-030</t>
  </si>
  <si>
    <t xml:space="preserve">2024-08-14</t>
  </si>
  <si>
    <t xml:space="preserve">TXN-031</t>
  </si>
  <si>
    <t xml:space="preserve">2024-08-22</t>
  </si>
  <si>
    <t xml:space="preserve">TXN-032</t>
  </si>
  <si>
    <t xml:space="preserve">2024-08-29</t>
  </si>
  <si>
    <t xml:space="preserve">TXN-033</t>
  </si>
  <si>
    <t xml:space="preserve">2024-09-05</t>
  </si>
  <si>
    <t xml:space="preserve">September</t>
  </si>
  <si>
    <t xml:space="preserve">TXN-034</t>
  </si>
  <si>
    <t xml:space="preserve">2024-09-13</t>
  </si>
  <si>
    <t xml:space="preserve">TXN-035</t>
  </si>
  <si>
    <t xml:space="preserve">2024-09-20</t>
  </si>
  <si>
    <t xml:space="preserve">TXN-036</t>
  </si>
  <si>
    <t xml:space="preserve">2024-09-27</t>
  </si>
  <si>
    <t xml:space="preserve">TXN-037</t>
  </si>
  <si>
    <t xml:space="preserve">2024-10-04</t>
  </si>
  <si>
    <t xml:space="preserve">October</t>
  </si>
  <si>
    <t xml:space="preserve">Q4</t>
  </si>
  <si>
    <t xml:space="preserve">TXN-038</t>
  </si>
  <si>
    <t xml:space="preserve">2024-10-12</t>
  </si>
  <si>
    <t xml:space="preserve">TXN-039</t>
  </si>
  <si>
    <t xml:space="preserve">2024-10-19</t>
  </si>
  <si>
    <t xml:space="preserve">TXN-040</t>
  </si>
  <si>
    <t xml:space="preserve">2024-10-26</t>
  </si>
  <si>
    <t xml:space="preserve">TXN-041</t>
  </si>
  <si>
    <t xml:space="preserve">2024-11-03</t>
  </si>
  <si>
    <t xml:space="preserve">November</t>
  </si>
  <si>
    <t xml:space="preserve">TXN-042</t>
  </si>
  <si>
    <t xml:space="preserve">2024-11-10</t>
  </si>
  <si>
    <t xml:space="preserve">TXN-043</t>
  </si>
  <si>
    <t xml:space="preserve">2024-11-17</t>
  </si>
  <si>
    <t xml:space="preserve">TXN-044</t>
  </si>
  <si>
    <t xml:space="preserve">2024-11-24</t>
  </si>
  <si>
    <t xml:space="preserve">TXN-045</t>
  </si>
  <si>
    <t xml:space="preserve">2024-12-05</t>
  </si>
  <si>
    <t xml:space="preserve">December</t>
  </si>
  <si>
    <t xml:space="preserve">TXN-046</t>
  </si>
  <si>
    <t xml:space="preserve">2024-12-12</t>
  </si>
  <si>
    <t xml:space="preserve">TXN-047</t>
  </si>
  <si>
    <t xml:space="preserve">2024-12-19</t>
  </si>
  <si>
    <t xml:space="preserve">TXN-048</t>
  </si>
  <si>
    <t xml:space="preserve">2024-12-26</t>
  </si>
  <si>
    <t xml:space="preserve">Transactions</t>
  </si>
  <si>
    <t xml:space="preserve">Avg_Order_Value_USD</t>
  </si>
  <si>
    <t xml:space="preserve">MoM_Revenue_Growth</t>
  </si>
  <si>
    <t xml:space="preserve">—</t>
  </si>
  <si>
    <t xml:space="preserve">TOTAL / AVG</t>
  </si>
  <si>
    <t xml:space="preserve">Total_Revenue_USD</t>
  </si>
  <si>
    <t xml:space="preserve">Total_Units_Sold</t>
  </si>
  <si>
    <t xml:space="preserve">Avg_Unit_Price_USD</t>
  </si>
  <si>
    <t xml:space="preserve">Total_Gross_Profit_USD</t>
  </si>
  <si>
    <t xml:space="preserve">Revenue_Share_Pct</t>
  </si>
  <si>
    <t xml:space="preserve">Performance_Rating</t>
  </si>
  <si>
    <t xml:space="preserve">YoY_Growth_Pct</t>
  </si>
  <si>
    <t xml:space="preserve">★★★★★</t>
  </si>
  <si>
    <t xml:space="preserve">★★★★☆</t>
  </si>
  <si>
    <t xml:space="preserve">★★★☆☆</t>
  </si>
  <si>
    <t xml:space="preserve">★★☆☆☆</t>
  </si>
  <si>
    <t xml:space="preserve">TOTAL</t>
  </si>
  <si>
    <t xml:space="preserve">Total_Units</t>
  </si>
  <si>
    <t xml:space="preserve">Avg_Deal_Size_USD</t>
  </si>
  <si>
    <t xml:space="preserve">Top_Category</t>
  </si>
  <si>
    <t xml:space="preserve">Target_USD</t>
  </si>
  <si>
    <t xml:space="preserve">Attainment_Pct</t>
  </si>
  <si>
    <t xml:space="preserve">SALES &amp; REVENUE ANALYSIS — KPI DASHBOARD 2024</t>
  </si>
  <si>
    <t xml:space="preserve">KEY PERFORMANCE INDICATORS</t>
  </si>
  <si>
    <t xml:space="preserve">Total Revenue</t>
  </si>
  <si>
    <t xml:space="preserve">Net Revenue</t>
  </si>
  <si>
    <t xml:space="preserve">Gross Profit</t>
  </si>
  <si>
    <t xml:space="preserve">Units Sold</t>
  </si>
  <si>
    <t xml:space="preserve">$888,170</t>
  </si>
  <si>
    <t xml:space="preserve">$855,500</t>
  </si>
  <si>
    <t xml:space="preserve">$310,830</t>
  </si>
  <si>
    <t xml:space="preserve">2,292</t>
  </si>
  <si>
    <t xml:space="preserve">48</t>
  </si>
  <si>
    <t xml:space="preserve">↑ 22.4% vs 2023</t>
  </si>
  <si>
    <t xml:space="preserve">After discounts</t>
  </si>
  <si>
    <t xml:space="preserve">35% avg margin</t>
  </si>
  <si>
    <t xml:space="preserve">Across 8 products</t>
  </si>
  <si>
    <t xml:space="preserve">FY 2024</t>
  </si>
  <si>
    <t xml:space="preserve">QUARTERLY PERFORMANCE</t>
  </si>
  <si>
    <t xml:space="preserve">Revenue</t>
  </si>
  <si>
    <t xml:space="preserve">Margin %</t>
  </si>
  <si>
    <t xml:space="preserve">Units</t>
  </si>
  <si>
    <t xml:space="preserve">QoQ Growth</t>
  </si>
  <si>
    <t xml:space="preserve">+25.2%</t>
  </si>
  <si>
    <t xml:space="preserve">+9.2%</t>
  </si>
  <si>
    <t xml:space="preserve">+22.1%</t>
  </si>
  <si>
    <t xml:space="preserve">TOP PRODUCTS BY REVENUE</t>
  </si>
  <si>
    <t xml:space="preserve">Rating</t>
  </si>
  <si>
    <t xml:space="preserve">REGIONAL PERFORMANCE</t>
  </si>
  <si>
    <t xml:space="preserve">Target</t>
  </si>
  <si>
    <t xml:space="preserve">Attainment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</si>
</sst>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%"/>
    <numFmt numFmtId="167" formatCode="@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9"/>
      <color rgb="FF5A5A5A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D6E4F0"/>
        <bgColor rgb="FFEBF3FB"/>
      </patternFill>
    </fill>
    <fill>
      <patternFill patternType="solid">
        <fgColor rgb="FF2E75B6"/>
        <bgColor rgb="FF0066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 diagonalUp="false" diagonalDown="false">
      <left style="thin">
        <color rgb="FFB0C4DE"/>
      </left>
      <right/>
      <top style="thin">
        <color rgb="FFB0C4DE"/>
      </top>
      <bottom style="thin">
        <color rgb="FFB0C4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A5A5A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6"/>
    <col collapsed="false" customWidth="true" hidden="false" outlineLevel="0" max="6" min="6" style="0" width="16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9" min="9" style="0" width="17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5"/>
    <col collapsed="false" customWidth="true" hidden="false" outlineLevel="0" max="15" min="15" style="0" width="12"/>
    <col collapsed="false" customWidth="true" hidden="false" outlineLevel="0" max="16" min="16" style="0" width="15"/>
    <col collapsed="false" customWidth="true" hidden="false" outlineLevel="0" max="17" min="17" style="0" width="14"/>
    <col collapsed="false" customWidth="true" hidden="false" outlineLevel="0" max="19" min="18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s">
        <v>19</v>
      </c>
      <c r="B2" s="2" t="s">
        <v>20</v>
      </c>
      <c r="C2" s="2" t="s">
        <v>21</v>
      </c>
      <c r="D2" s="2" t="s">
        <v>22</v>
      </c>
      <c r="E2" s="2" t="n">
        <v>2024</v>
      </c>
      <c r="F2" s="2" t="s">
        <v>23</v>
      </c>
      <c r="G2" s="2" t="s">
        <v>24</v>
      </c>
      <c r="H2" s="2" t="s">
        <v>25</v>
      </c>
      <c r="I2" s="2" t="s">
        <v>26</v>
      </c>
      <c r="J2" s="2" t="n">
        <v>12</v>
      </c>
      <c r="K2" s="2" t="n">
        <v>3200</v>
      </c>
      <c r="L2" s="3" t="n">
        <f aca="false">J2*K2</f>
        <v>38400</v>
      </c>
      <c r="M2" s="2" t="s">
        <v>27</v>
      </c>
      <c r="N2" s="3" t="n">
        <f aca="false">L2*(1-SUBSTITUTE(M2,"%","")/100)</f>
        <v>36480</v>
      </c>
      <c r="O2" s="3" t="n">
        <f aca="false">L2*0.65</f>
        <v>24960</v>
      </c>
      <c r="P2" s="3" t="n">
        <f aca="false">N2-O2</f>
        <v>11520</v>
      </c>
      <c r="Q2" s="4" t="n">
        <f aca="false">IF(N2&gt;0,P2/N2,0)</f>
        <v>0.315789473684211</v>
      </c>
      <c r="R2" s="2" t="s">
        <v>28</v>
      </c>
      <c r="S2" s="2" t="s">
        <v>29</v>
      </c>
    </row>
    <row r="3" customFormat="false" ht="15" hidden="false" customHeight="false" outlineLevel="0" collapsed="false">
      <c r="A3" s="5" t="s">
        <v>30</v>
      </c>
      <c r="B3" s="5" t="s">
        <v>31</v>
      </c>
      <c r="C3" s="5" t="s">
        <v>21</v>
      </c>
      <c r="D3" s="5" t="s">
        <v>22</v>
      </c>
      <c r="E3" s="5" t="n">
        <v>2024</v>
      </c>
      <c r="F3" s="5" t="s">
        <v>32</v>
      </c>
      <c r="G3" s="5" t="s">
        <v>33</v>
      </c>
      <c r="H3" s="5" t="s">
        <v>34</v>
      </c>
      <c r="I3" s="5" t="s">
        <v>35</v>
      </c>
      <c r="J3" s="5" t="n">
        <v>45</v>
      </c>
      <c r="K3" s="5" t="n">
        <v>480</v>
      </c>
      <c r="L3" s="6" t="n">
        <f aca="false">J3*K3</f>
        <v>21600</v>
      </c>
      <c r="M3" s="5" t="s">
        <v>36</v>
      </c>
      <c r="N3" s="6" t="n">
        <f aca="false">L3*(1-SUBSTITUTE(M3,"%","")/100)</f>
        <v>21600</v>
      </c>
      <c r="O3" s="6" t="n">
        <f aca="false">L3*0.52</f>
        <v>11232</v>
      </c>
      <c r="P3" s="6" t="n">
        <f aca="false">N3-O3</f>
        <v>10368</v>
      </c>
      <c r="Q3" s="7" t="n">
        <f aca="false">IF(N3&gt;0,P3/N3,0)</f>
        <v>0.48</v>
      </c>
      <c r="R3" s="5" t="s">
        <v>37</v>
      </c>
      <c r="S3" s="5" t="s">
        <v>29</v>
      </c>
    </row>
    <row r="4" customFormat="false" ht="15" hidden="false" customHeight="false" outlineLevel="0" collapsed="false">
      <c r="A4" s="2" t="s">
        <v>38</v>
      </c>
      <c r="B4" s="2" t="s">
        <v>39</v>
      </c>
      <c r="C4" s="2" t="s">
        <v>21</v>
      </c>
      <c r="D4" s="2" t="s">
        <v>22</v>
      </c>
      <c r="E4" s="2" t="n">
        <v>2024</v>
      </c>
      <c r="F4" s="2" t="s">
        <v>40</v>
      </c>
      <c r="G4" s="2" t="s">
        <v>41</v>
      </c>
      <c r="H4" s="2" t="s">
        <v>42</v>
      </c>
      <c r="I4" s="2" t="s">
        <v>43</v>
      </c>
      <c r="J4" s="2" t="n">
        <v>20</v>
      </c>
      <c r="K4" s="2" t="n">
        <v>750</v>
      </c>
      <c r="L4" s="3" t="n">
        <f aca="false">J4*K4</f>
        <v>15000</v>
      </c>
      <c r="M4" s="2" t="s">
        <v>44</v>
      </c>
      <c r="N4" s="3" t="n">
        <f aca="false">L4*(1-SUBSTITUTE(M4,"%","")/100)</f>
        <v>14550</v>
      </c>
      <c r="O4" s="3" t="n">
        <f aca="false">L4*0.61</f>
        <v>9150</v>
      </c>
      <c r="P4" s="3" t="n">
        <f aca="false">N4-O4</f>
        <v>5400</v>
      </c>
      <c r="Q4" s="4" t="n">
        <f aca="false">IF(N4&gt;0,P4/N4,0)</f>
        <v>0.371134020618557</v>
      </c>
      <c r="R4" s="2" t="s">
        <v>28</v>
      </c>
      <c r="S4" s="2" t="s">
        <v>29</v>
      </c>
    </row>
    <row r="5" customFormat="false" ht="15" hidden="false" customHeight="false" outlineLevel="0" collapsed="false">
      <c r="A5" s="5" t="s">
        <v>45</v>
      </c>
      <c r="B5" s="5" t="s">
        <v>46</v>
      </c>
      <c r="C5" s="5" t="s">
        <v>21</v>
      </c>
      <c r="D5" s="5" t="s">
        <v>22</v>
      </c>
      <c r="E5" s="5" t="n">
        <v>2024</v>
      </c>
      <c r="F5" s="5" t="s">
        <v>47</v>
      </c>
      <c r="G5" s="5" t="s">
        <v>48</v>
      </c>
      <c r="H5" s="5" t="s">
        <v>49</v>
      </c>
      <c r="I5" s="5" t="s">
        <v>50</v>
      </c>
      <c r="J5" s="5" t="n">
        <v>30</v>
      </c>
      <c r="K5" s="5" t="n">
        <v>620</v>
      </c>
      <c r="L5" s="6" t="n">
        <f aca="false">J5*K5</f>
        <v>18600</v>
      </c>
      <c r="M5" s="5" t="s">
        <v>51</v>
      </c>
      <c r="N5" s="6" t="n">
        <f aca="false">L5*(1-SUBSTITUTE(M5,"%","")/100)</f>
        <v>18228</v>
      </c>
      <c r="O5" s="6" t="n">
        <f aca="false">L5*0.7</f>
        <v>13020</v>
      </c>
      <c r="P5" s="6" t="n">
        <f aca="false">N5-O5</f>
        <v>5208</v>
      </c>
      <c r="Q5" s="7" t="n">
        <f aca="false">IF(N5&gt;0,P5/N5,0)</f>
        <v>0.285714285714286</v>
      </c>
      <c r="R5" s="5" t="s">
        <v>37</v>
      </c>
      <c r="S5" s="5" t="s">
        <v>29</v>
      </c>
    </row>
    <row r="6" customFormat="false" ht="15" hidden="false" customHeight="false" outlineLevel="0" collapsed="false">
      <c r="A6" s="2" t="s">
        <v>52</v>
      </c>
      <c r="B6" s="2" t="s">
        <v>53</v>
      </c>
      <c r="C6" s="2" t="s">
        <v>54</v>
      </c>
      <c r="D6" s="2" t="s">
        <v>22</v>
      </c>
      <c r="E6" s="2" t="n">
        <v>2024</v>
      </c>
      <c r="F6" s="2" t="s">
        <v>23</v>
      </c>
      <c r="G6" s="2" t="s">
        <v>24</v>
      </c>
      <c r="H6" s="2" t="s">
        <v>25</v>
      </c>
      <c r="I6" s="2" t="s">
        <v>55</v>
      </c>
      <c r="J6" s="2" t="n">
        <v>25</v>
      </c>
      <c r="K6" s="2" t="n">
        <v>860</v>
      </c>
      <c r="L6" s="3" t="n">
        <f aca="false">J6*K6</f>
        <v>21500</v>
      </c>
      <c r="M6" s="2" t="s">
        <v>27</v>
      </c>
      <c r="N6" s="3" t="n">
        <f aca="false">L6*(1-SUBSTITUTE(M6,"%","")/100)</f>
        <v>20425</v>
      </c>
      <c r="O6" s="3" t="n">
        <f aca="false">L6*0.65</f>
        <v>13975</v>
      </c>
      <c r="P6" s="3" t="n">
        <f aca="false">N6-O6</f>
        <v>6450</v>
      </c>
      <c r="Q6" s="4" t="n">
        <f aca="false">IF(N6&gt;0,P6/N6,0)</f>
        <v>0.315789473684211</v>
      </c>
      <c r="R6" s="2" t="s">
        <v>28</v>
      </c>
      <c r="S6" s="2" t="s">
        <v>29</v>
      </c>
    </row>
    <row r="7" customFormat="false" ht="15" hidden="false" customHeight="false" outlineLevel="0" collapsed="false">
      <c r="A7" s="5" t="s">
        <v>56</v>
      </c>
      <c r="B7" s="5" t="s">
        <v>57</v>
      </c>
      <c r="C7" s="5" t="s">
        <v>54</v>
      </c>
      <c r="D7" s="5" t="s">
        <v>22</v>
      </c>
      <c r="E7" s="5" t="n">
        <v>2024</v>
      </c>
      <c r="F7" s="5" t="s">
        <v>32</v>
      </c>
      <c r="G7" s="5" t="s">
        <v>33</v>
      </c>
      <c r="H7" s="5" t="s">
        <v>49</v>
      </c>
      <c r="I7" s="5" t="s">
        <v>58</v>
      </c>
      <c r="J7" s="5" t="n">
        <v>18</v>
      </c>
      <c r="K7" s="5" t="n">
        <v>420</v>
      </c>
      <c r="L7" s="6" t="n">
        <f aca="false">J7*K7</f>
        <v>7560</v>
      </c>
      <c r="M7" s="5" t="s">
        <v>36</v>
      </c>
      <c r="N7" s="6" t="n">
        <f aca="false">L7*(1-SUBSTITUTE(M7,"%","")/100)</f>
        <v>7560</v>
      </c>
      <c r="O7" s="6" t="n">
        <f aca="false">L7*0.7</f>
        <v>5292</v>
      </c>
      <c r="P7" s="6" t="n">
        <f aca="false">N7-O7</f>
        <v>2268</v>
      </c>
      <c r="Q7" s="7" t="n">
        <f aca="false">IF(N7&gt;0,P7/N7,0)</f>
        <v>0.3</v>
      </c>
      <c r="R7" s="5" t="s">
        <v>37</v>
      </c>
      <c r="S7" s="5" t="s">
        <v>29</v>
      </c>
    </row>
    <row r="8" customFormat="false" ht="15" hidden="false" customHeight="false" outlineLevel="0" collapsed="false">
      <c r="A8" s="2" t="s">
        <v>59</v>
      </c>
      <c r="B8" s="2" t="s">
        <v>60</v>
      </c>
      <c r="C8" s="2" t="s">
        <v>54</v>
      </c>
      <c r="D8" s="2" t="s">
        <v>22</v>
      </c>
      <c r="E8" s="2" t="n">
        <v>2024</v>
      </c>
      <c r="F8" s="2" t="s">
        <v>40</v>
      </c>
      <c r="G8" s="2" t="s">
        <v>41</v>
      </c>
      <c r="H8" s="2" t="s">
        <v>34</v>
      </c>
      <c r="I8" s="2" t="s">
        <v>61</v>
      </c>
      <c r="J8" s="2" t="n">
        <v>60</v>
      </c>
      <c r="K8" s="2" t="n">
        <v>320</v>
      </c>
      <c r="L8" s="3" t="n">
        <f aca="false">J8*K8</f>
        <v>19200</v>
      </c>
      <c r="M8" s="2" t="s">
        <v>44</v>
      </c>
      <c r="N8" s="3" t="n">
        <f aca="false">L8*(1-SUBSTITUTE(M8,"%","")/100)</f>
        <v>18624</v>
      </c>
      <c r="O8" s="3" t="n">
        <f aca="false">L8*0.52</f>
        <v>9984</v>
      </c>
      <c r="P8" s="3" t="n">
        <f aca="false">N8-O8</f>
        <v>8640</v>
      </c>
      <c r="Q8" s="4" t="n">
        <f aca="false">IF(N8&gt;0,P8/N8,0)</f>
        <v>0.463917525773196</v>
      </c>
      <c r="R8" s="2" t="s">
        <v>37</v>
      </c>
      <c r="S8" s="2" t="s">
        <v>29</v>
      </c>
    </row>
    <row r="9" customFormat="false" ht="15" hidden="false" customHeight="false" outlineLevel="0" collapsed="false">
      <c r="A9" s="5" t="s">
        <v>62</v>
      </c>
      <c r="B9" s="5" t="s">
        <v>63</v>
      </c>
      <c r="C9" s="5" t="s">
        <v>54</v>
      </c>
      <c r="D9" s="5" t="s">
        <v>22</v>
      </c>
      <c r="E9" s="5" t="n">
        <v>2024</v>
      </c>
      <c r="F9" s="5" t="s">
        <v>47</v>
      </c>
      <c r="G9" s="5" t="s">
        <v>48</v>
      </c>
      <c r="H9" s="5" t="s">
        <v>42</v>
      </c>
      <c r="I9" s="5" t="s">
        <v>64</v>
      </c>
      <c r="J9" s="5" t="n">
        <v>35</v>
      </c>
      <c r="K9" s="5" t="n">
        <v>280</v>
      </c>
      <c r="L9" s="6" t="n">
        <f aca="false">J9*K9</f>
        <v>9800</v>
      </c>
      <c r="M9" s="5" t="s">
        <v>36</v>
      </c>
      <c r="N9" s="6" t="n">
        <f aca="false">L9*(1-SUBSTITUTE(M9,"%","")/100)</f>
        <v>9800</v>
      </c>
      <c r="O9" s="6" t="n">
        <f aca="false">L9*0.61</f>
        <v>5978</v>
      </c>
      <c r="P9" s="6" t="n">
        <f aca="false">N9-O9</f>
        <v>3822</v>
      </c>
      <c r="Q9" s="7" t="n">
        <f aca="false">IF(N9&gt;0,P9/N9,0)</f>
        <v>0.39</v>
      </c>
      <c r="R9" s="5" t="s">
        <v>28</v>
      </c>
      <c r="S9" s="5" t="s">
        <v>29</v>
      </c>
    </row>
    <row r="10" customFormat="false" ht="15" hidden="false" customHeight="false" outlineLevel="0" collapsed="false">
      <c r="A10" s="2" t="s">
        <v>65</v>
      </c>
      <c r="B10" s="2" t="s">
        <v>66</v>
      </c>
      <c r="C10" s="2" t="s">
        <v>67</v>
      </c>
      <c r="D10" s="2" t="s">
        <v>22</v>
      </c>
      <c r="E10" s="2" t="n">
        <v>2024</v>
      </c>
      <c r="F10" s="2" t="s">
        <v>23</v>
      </c>
      <c r="G10" s="2" t="s">
        <v>24</v>
      </c>
      <c r="H10" s="2" t="s">
        <v>25</v>
      </c>
      <c r="I10" s="2" t="s">
        <v>26</v>
      </c>
      <c r="J10" s="2" t="n">
        <v>15</v>
      </c>
      <c r="K10" s="2" t="n">
        <v>3200</v>
      </c>
      <c r="L10" s="3" t="n">
        <f aca="false">J10*K10</f>
        <v>48000</v>
      </c>
      <c r="M10" s="2" t="s">
        <v>27</v>
      </c>
      <c r="N10" s="3" t="n">
        <f aca="false">L10*(1-SUBSTITUTE(M10,"%","")/100)</f>
        <v>45600</v>
      </c>
      <c r="O10" s="3" t="n">
        <f aca="false">L10*0.65</f>
        <v>31200</v>
      </c>
      <c r="P10" s="3" t="n">
        <f aca="false">N10-O10</f>
        <v>14400</v>
      </c>
      <c r="Q10" s="4" t="n">
        <f aca="false">IF(N10&gt;0,P10/N10,0)</f>
        <v>0.315789473684211</v>
      </c>
      <c r="R10" s="2" t="s">
        <v>28</v>
      </c>
      <c r="S10" s="2" t="s">
        <v>29</v>
      </c>
    </row>
    <row r="11" customFormat="false" ht="15" hidden="false" customHeight="false" outlineLevel="0" collapsed="false">
      <c r="A11" s="5" t="s">
        <v>68</v>
      </c>
      <c r="B11" s="5" t="s">
        <v>69</v>
      </c>
      <c r="C11" s="5" t="s">
        <v>67</v>
      </c>
      <c r="D11" s="5" t="s">
        <v>22</v>
      </c>
      <c r="E11" s="5" t="n">
        <v>2024</v>
      </c>
      <c r="F11" s="5" t="s">
        <v>32</v>
      </c>
      <c r="G11" s="5" t="s">
        <v>33</v>
      </c>
      <c r="H11" s="5" t="s">
        <v>34</v>
      </c>
      <c r="I11" s="5" t="s">
        <v>35</v>
      </c>
      <c r="J11" s="5" t="n">
        <v>50</v>
      </c>
      <c r="K11" s="5" t="n">
        <v>480</v>
      </c>
      <c r="L11" s="6" t="n">
        <f aca="false">J11*K11</f>
        <v>24000</v>
      </c>
      <c r="M11" s="5" t="s">
        <v>36</v>
      </c>
      <c r="N11" s="6" t="n">
        <f aca="false">L11*(1-SUBSTITUTE(M11,"%","")/100)</f>
        <v>24000</v>
      </c>
      <c r="O11" s="6" t="n">
        <f aca="false">L11*0.52</f>
        <v>12480</v>
      </c>
      <c r="P11" s="6" t="n">
        <f aca="false">N11-O11</f>
        <v>11520</v>
      </c>
      <c r="Q11" s="7" t="n">
        <f aca="false">IF(N11&gt;0,P11/N11,0)</f>
        <v>0.48</v>
      </c>
      <c r="R11" s="5" t="s">
        <v>37</v>
      </c>
      <c r="S11" s="5" t="s">
        <v>29</v>
      </c>
    </row>
    <row r="12" customFormat="false" ht="15" hidden="false" customHeight="false" outlineLevel="0" collapsed="false">
      <c r="A12" s="2" t="s">
        <v>70</v>
      </c>
      <c r="B12" s="2" t="s">
        <v>71</v>
      </c>
      <c r="C12" s="2" t="s">
        <v>67</v>
      </c>
      <c r="D12" s="2" t="s">
        <v>22</v>
      </c>
      <c r="E12" s="2" t="n">
        <v>2024</v>
      </c>
      <c r="F12" s="2" t="s">
        <v>40</v>
      </c>
      <c r="G12" s="2" t="s">
        <v>41</v>
      </c>
      <c r="H12" s="2" t="s">
        <v>49</v>
      </c>
      <c r="I12" s="2" t="s">
        <v>50</v>
      </c>
      <c r="J12" s="2" t="n">
        <v>22</v>
      </c>
      <c r="K12" s="2" t="n">
        <v>620</v>
      </c>
      <c r="L12" s="3" t="n">
        <f aca="false">J12*K12</f>
        <v>13640</v>
      </c>
      <c r="M12" s="2" t="s">
        <v>51</v>
      </c>
      <c r="N12" s="3" t="n">
        <f aca="false">L12*(1-SUBSTITUTE(M12,"%","")/100)</f>
        <v>13367.2</v>
      </c>
      <c r="O12" s="3" t="n">
        <f aca="false">L12*0.7</f>
        <v>9548</v>
      </c>
      <c r="P12" s="3" t="n">
        <f aca="false">N12-O12</f>
        <v>3819.2</v>
      </c>
      <c r="Q12" s="4" t="n">
        <f aca="false">IF(N12&gt;0,P12/N12,0)</f>
        <v>0.285714285714286</v>
      </c>
      <c r="R12" s="2" t="s">
        <v>37</v>
      </c>
      <c r="S12" s="2" t="s">
        <v>29</v>
      </c>
    </row>
    <row r="13" customFormat="false" ht="15" hidden="false" customHeight="false" outlineLevel="0" collapsed="false">
      <c r="A13" s="5" t="s">
        <v>72</v>
      </c>
      <c r="B13" s="5" t="s">
        <v>73</v>
      </c>
      <c r="C13" s="5" t="s">
        <v>67</v>
      </c>
      <c r="D13" s="5" t="s">
        <v>22</v>
      </c>
      <c r="E13" s="5" t="n">
        <v>2024</v>
      </c>
      <c r="F13" s="5" t="s">
        <v>47</v>
      </c>
      <c r="G13" s="5" t="s">
        <v>48</v>
      </c>
      <c r="H13" s="5" t="s">
        <v>42</v>
      </c>
      <c r="I13" s="5" t="s">
        <v>43</v>
      </c>
      <c r="J13" s="5" t="n">
        <v>18</v>
      </c>
      <c r="K13" s="5" t="n">
        <v>750</v>
      </c>
      <c r="L13" s="6" t="n">
        <f aca="false">J13*K13</f>
        <v>13500</v>
      </c>
      <c r="M13" s="5" t="s">
        <v>44</v>
      </c>
      <c r="N13" s="6" t="n">
        <f aca="false">L13*(1-SUBSTITUTE(M13,"%","")/100)</f>
        <v>13095</v>
      </c>
      <c r="O13" s="6" t="n">
        <f aca="false">L13*0.61</f>
        <v>8235</v>
      </c>
      <c r="P13" s="6" t="n">
        <f aca="false">N13-O13</f>
        <v>4860</v>
      </c>
      <c r="Q13" s="7" t="n">
        <f aca="false">IF(N13&gt;0,P13/N13,0)</f>
        <v>0.371134020618557</v>
      </c>
      <c r="R13" s="5" t="s">
        <v>28</v>
      </c>
      <c r="S13" s="5" t="s">
        <v>29</v>
      </c>
    </row>
    <row r="14" customFormat="false" ht="15" hidden="false" customHeight="false" outlineLevel="0" collapsed="false">
      <c r="A14" s="2" t="s">
        <v>74</v>
      </c>
      <c r="B14" s="2" t="s">
        <v>75</v>
      </c>
      <c r="C14" s="2" t="s">
        <v>76</v>
      </c>
      <c r="D14" s="2" t="s">
        <v>77</v>
      </c>
      <c r="E14" s="2" t="n">
        <v>2024</v>
      </c>
      <c r="F14" s="2" t="s">
        <v>23</v>
      </c>
      <c r="G14" s="2" t="s">
        <v>24</v>
      </c>
      <c r="H14" s="2" t="s">
        <v>25</v>
      </c>
      <c r="I14" s="2" t="s">
        <v>55</v>
      </c>
      <c r="J14" s="2" t="n">
        <v>30</v>
      </c>
      <c r="K14" s="2" t="n">
        <v>860</v>
      </c>
      <c r="L14" s="3" t="n">
        <f aca="false">J14*K14</f>
        <v>25800</v>
      </c>
      <c r="M14" s="2" t="s">
        <v>27</v>
      </c>
      <c r="N14" s="3" t="n">
        <f aca="false">L14*(1-SUBSTITUTE(M14,"%","")/100)</f>
        <v>24510</v>
      </c>
      <c r="O14" s="3" t="n">
        <f aca="false">L14*0.65</f>
        <v>16770</v>
      </c>
      <c r="P14" s="3" t="n">
        <f aca="false">N14-O14</f>
        <v>7740</v>
      </c>
      <c r="Q14" s="4" t="n">
        <f aca="false">IF(N14&gt;0,P14/N14,0)</f>
        <v>0.315789473684211</v>
      </c>
      <c r="R14" s="2" t="s">
        <v>28</v>
      </c>
      <c r="S14" s="2" t="s">
        <v>29</v>
      </c>
    </row>
    <row r="15" customFormat="false" ht="15" hidden="false" customHeight="false" outlineLevel="0" collapsed="false">
      <c r="A15" s="5" t="s">
        <v>78</v>
      </c>
      <c r="B15" s="5" t="s">
        <v>79</v>
      </c>
      <c r="C15" s="5" t="s">
        <v>76</v>
      </c>
      <c r="D15" s="5" t="s">
        <v>77</v>
      </c>
      <c r="E15" s="5" t="n">
        <v>2024</v>
      </c>
      <c r="F15" s="5" t="s">
        <v>32</v>
      </c>
      <c r="G15" s="5" t="s">
        <v>33</v>
      </c>
      <c r="H15" s="5" t="s">
        <v>34</v>
      </c>
      <c r="I15" s="5" t="s">
        <v>61</v>
      </c>
      <c r="J15" s="5" t="n">
        <v>75</v>
      </c>
      <c r="K15" s="5" t="n">
        <v>320</v>
      </c>
      <c r="L15" s="6" t="n">
        <f aca="false">J15*K15</f>
        <v>24000</v>
      </c>
      <c r="M15" s="5" t="s">
        <v>36</v>
      </c>
      <c r="N15" s="6" t="n">
        <f aca="false">L15*(1-SUBSTITUTE(M15,"%","")/100)</f>
        <v>24000</v>
      </c>
      <c r="O15" s="6" t="n">
        <f aca="false">L15*0.52</f>
        <v>12480</v>
      </c>
      <c r="P15" s="6" t="n">
        <f aca="false">N15-O15</f>
        <v>11520</v>
      </c>
      <c r="Q15" s="7" t="n">
        <f aca="false">IF(N15&gt;0,P15/N15,0)</f>
        <v>0.48</v>
      </c>
      <c r="R15" s="5" t="s">
        <v>37</v>
      </c>
      <c r="S15" s="5" t="s">
        <v>29</v>
      </c>
    </row>
    <row r="16" customFormat="false" ht="15" hidden="false" customHeight="false" outlineLevel="0" collapsed="false">
      <c r="A16" s="2" t="s">
        <v>80</v>
      </c>
      <c r="B16" s="2" t="s">
        <v>81</v>
      </c>
      <c r="C16" s="2" t="s">
        <v>76</v>
      </c>
      <c r="D16" s="2" t="s">
        <v>77</v>
      </c>
      <c r="E16" s="2" t="n">
        <v>2024</v>
      </c>
      <c r="F16" s="2" t="s">
        <v>40</v>
      </c>
      <c r="G16" s="2" t="s">
        <v>41</v>
      </c>
      <c r="H16" s="2" t="s">
        <v>42</v>
      </c>
      <c r="I16" s="2" t="s">
        <v>64</v>
      </c>
      <c r="J16" s="2" t="n">
        <v>40</v>
      </c>
      <c r="K16" s="2" t="n">
        <v>280</v>
      </c>
      <c r="L16" s="3" t="n">
        <f aca="false">J16*K16</f>
        <v>11200</v>
      </c>
      <c r="M16" s="2" t="s">
        <v>36</v>
      </c>
      <c r="N16" s="3" t="n">
        <f aca="false">L16*(1-SUBSTITUTE(M16,"%","")/100)</f>
        <v>11200</v>
      </c>
      <c r="O16" s="3" t="n">
        <f aca="false">L16*0.61</f>
        <v>6832</v>
      </c>
      <c r="P16" s="3" t="n">
        <f aca="false">N16-O16</f>
        <v>4368</v>
      </c>
      <c r="Q16" s="4" t="n">
        <f aca="false">IF(N16&gt;0,P16/N16,0)</f>
        <v>0.39</v>
      </c>
      <c r="R16" s="2" t="s">
        <v>28</v>
      </c>
      <c r="S16" s="2" t="s">
        <v>29</v>
      </c>
    </row>
    <row r="17" customFormat="false" ht="15" hidden="false" customHeight="false" outlineLevel="0" collapsed="false">
      <c r="A17" s="5" t="s">
        <v>82</v>
      </c>
      <c r="B17" s="5" t="s">
        <v>83</v>
      </c>
      <c r="C17" s="5" t="s">
        <v>76</v>
      </c>
      <c r="D17" s="5" t="s">
        <v>77</v>
      </c>
      <c r="E17" s="5" t="n">
        <v>2024</v>
      </c>
      <c r="F17" s="5" t="s">
        <v>47</v>
      </c>
      <c r="G17" s="5" t="s">
        <v>48</v>
      </c>
      <c r="H17" s="5" t="s">
        <v>49</v>
      </c>
      <c r="I17" s="5" t="s">
        <v>58</v>
      </c>
      <c r="J17" s="5" t="n">
        <v>25</v>
      </c>
      <c r="K17" s="5" t="n">
        <v>420</v>
      </c>
      <c r="L17" s="6" t="n">
        <f aca="false">J17*K17</f>
        <v>10500</v>
      </c>
      <c r="M17" s="5" t="s">
        <v>51</v>
      </c>
      <c r="N17" s="6" t="n">
        <f aca="false">L17*(1-SUBSTITUTE(M17,"%","")/100)</f>
        <v>10290</v>
      </c>
      <c r="O17" s="6" t="n">
        <f aca="false">L17*0.7</f>
        <v>7350</v>
      </c>
      <c r="P17" s="6" t="n">
        <f aca="false">N17-O17</f>
        <v>2940</v>
      </c>
      <c r="Q17" s="7" t="n">
        <f aca="false">IF(N17&gt;0,P17/N17,0)</f>
        <v>0.285714285714286</v>
      </c>
      <c r="R17" s="5" t="s">
        <v>37</v>
      </c>
      <c r="S17" s="5" t="s">
        <v>29</v>
      </c>
    </row>
    <row r="18" customFormat="false" ht="15" hidden="false" customHeight="false" outlineLevel="0" collapsed="false">
      <c r="A18" s="2" t="s">
        <v>84</v>
      </c>
      <c r="B18" s="2" t="s">
        <v>85</v>
      </c>
      <c r="C18" s="2" t="s">
        <v>86</v>
      </c>
      <c r="D18" s="2" t="s">
        <v>77</v>
      </c>
      <c r="E18" s="2" t="n">
        <v>2024</v>
      </c>
      <c r="F18" s="2" t="s">
        <v>23</v>
      </c>
      <c r="G18" s="2" t="s">
        <v>24</v>
      </c>
      <c r="H18" s="2" t="s">
        <v>25</v>
      </c>
      <c r="I18" s="2" t="s">
        <v>26</v>
      </c>
      <c r="J18" s="2" t="n">
        <v>18</v>
      </c>
      <c r="K18" s="2" t="n">
        <v>3200</v>
      </c>
      <c r="L18" s="3" t="n">
        <f aca="false">J18*K18</f>
        <v>57600</v>
      </c>
      <c r="M18" s="2" t="s">
        <v>27</v>
      </c>
      <c r="N18" s="3" t="n">
        <f aca="false">L18*(1-SUBSTITUTE(M18,"%","")/100)</f>
        <v>54720</v>
      </c>
      <c r="O18" s="3" t="n">
        <f aca="false">L18*0.65</f>
        <v>37440</v>
      </c>
      <c r="P18" s="3" t="n">
        <f aca="false">N18-O18</f>
        <v>17280</v>
      </c>
      <c r="Q18" s="4" t="n">
        <f aca="false">IF(N18&gt;0,P18/N18,0)</f>
        <v>0.315789473684211</v>
      </c>
      <c r="R18" s="2" t="s">
        <v>28</v>
      </c>
      <c r="S18" s="2" t="s">
        <v>29</v>
      </c>
    </row>
    <row r="19" customFormat="false" ht="15" hidden="false" customHeight="false" outlineLevel="0" collapsed="false">
      <c r="A19" s="5" t="s">
        <v>87</v>
      </c>
      <c r="B19" s="5" t="s">
        <v>88</v>
      </c>
      <c r="C19" s="5" t="s">
        <v>86</v>
      </c>
      <c r="D19" s="5" t="s">
        <v>77</v>
      </c>
      <c r="E19" s="5" t="n">
        <v>2024</v>
      </c>
      <c r="F19" s="5" t="s">
        <v>32</v>
      </c>
      <c r="G19" s="5" t="s">
        <v>33</v>
      </c>
      <c r="H19" s="5" t="s">
        <v>49</v>
      </c>
      <c r="I19" s="5" t="s">
        <v>50</v>
      </c>
      <c r="J19" s="5" t="n">
        <v>28</v>
      </c>
      <c r="K19" s="5" t="n">
        <v>620</v>
      </c>
      <c r="L19" s="6" t="n">
        <f aca="false">J19*K19</f>
        <v>17360</v>
      </c>
      <c r="M19" s="5" t="s">
        <v>36</v>
      </c>
      <c r="N19" s="6" t="n">
        <f aca="false">L19*(1-SUBSTITUTE(M19,"%","")/100)</f>
        <v>17360</v>
      </c>
      <c r="O19" s="6" t="n">
        <f aca="false">L19*0.7</f>
        <v>12152</v>
      </c>
      <c r="P19" s="6" t="n">
        <f aca="false">N19-O19</f>
        <v>5208</v>
      </c>
      <c r="Q19" s="7" t="n">
        <f aca="false">IF(N19&gt;0,P19/N19,0)</f>
        <v>0.3</v>
      </c>
      <c r="R19" s="5" t="s">
        <v>37</v>
      </c>
      <c r="S19" s="5" t="s">
        <v>29</v>
      </c>
    </row>
    <row r="20" customFormat="false" ht="15" hidden="false" customHeight="false" outlineLevel="0" collapsed="false">
      <c r="A20" s="2" t="s">
        <v>89</v>
      </c>
      <c r="B20" s="2" t="s">
        <v>90</v>
      </c>
      <c r="C20" s="2" t="s">
        <v>86</v>
      </c>
      <c r="D20" s="2" t="s">
        <v>77</v>
      </c>
      <c r="E20" s="2" t="n">
        <v>2024</v>
      </c>
      <c r="F20" s="2" t="s">
        <v>40</v>
      </c>
      <c r="G20" s="2" t="s">
        <v>41</v>
      </c>
      <c r="H20" s="2" t="s">
        <v>34</v>
      </c>
      <c r="I20" s="2" t="s">
        <v>35</v>
      </c>
      <c r="J20" s="2" t="n">
        <v>55</v>
      </c>
      <c r="K20" s="2" t="n">
        <v>480</v>
      </c>
      <c r="L20" s="3" t="n">
        <f aca="false">J20*K20</f>
        <v>26400</v>
      </c>
      <c r="M20" s="2" t="s">
        <v>44</v>
      </c>
      <c r="N20" s="3" t="n">
        <f aca="false">L20*(1-SUBSTITUTE(M20,"%","")/100)</f>
        <v>25608</v>
      </c>
      <c r="O20" s="3" t="n">
        <f aca="false">L20*0.52</f>
        <v>13728</v>
      </c>
      <c r="P20" s="3" t="n">
        <f aca="false">N20-O20</f>
        <v>11880</v>
      </c>
      <c r="Q20" s="4" t="n">
        <f aca="false">IF(N20&gt;0,P20/N20,0)</f>
        <v>0.463917525773196</v>
      </c>
      <c r="R20" s="2" t="s">
        <v>37</v>
      </c>
      <c r="S20" s="2" t="s">
        <v>29</v>
      </c>
    </row>
    <row r="21" customFormat="false" ht="15" hidden="false" customHeight="false" outlineLevel="0" collapsed="false">
      <c r="A21" s="5" t="s">
        <v>91</v>
      </c>
      <c r="B21" s="5" t="s">
        <v>92</v>
      </c>
      <c r="C21" s="5" t="s">
        <v>86</v>
      </c>
      <c r="D21" s="5" t="s">
        <v>77</v>
      </c>
      <c r="E21" s="5" t="n">
        <v>2024</v>
      </c>
      <c r="F21" s="5" t="s">
        <v>47</v>
      </c>
      <c r="G21" s="5" t="s">
        <v>48</v>
      </c>
      <c r="H21" s="5" t="s">
        <v>42</v>
      </c>
      <c r="I21" s="5" t="s">
        <v>43</v>
      </c>
      <c r="J21" s="5" t="n">
        <v>22</v>
      </c>
      <c r="K21" s="5" t="n">
        <v>750</v>
      </c>
      <c r="L21" s="6" t="n">
        <f aca="false">J21*K21</f>
        <v>16500</v>
      </c>
      <c r="M21" s="5" t="s">
        <v>36</v>
      </c>
      <c r="N21" s="6" t="n">
        <f aca="false">L21*(1-SUBSTITUTE(M21,"%","")/100)</f>
        <v>16500</v>
      </c>
      <c r="O21" s="6" t="n">
        <f aca="false">L21*0.61</f>
        <v>10065</v>
      </c>
      <c r="P21" s="6" t="n">
        <f aca="false">N21-O21</f>
        <v>6435</v>
      </c>
      <c r="Q21" s="7" t="n">
        <f aca="false">IF(N21&gt;0,P21/N21,0)</f>
        <v>0.39</v>
      </c>
      <c r="R21" s="5" t="s">
        <v>28</v>
      </c>
      <c r="S21" s="5" t="s">
        <v>29</v>
      </c>
    </row>
    <row r="22" customFormat="false" ht="15" hidden="false" customHeight="false" outlineLevel="0" collapsed="false">
      <c r="A22" s="2" t="s">
        <v>93</v>
      </c>
      <c r="B22" s="2" t="s">
        <v>94</v>
      </c>
      <c r="C22" s="2" t="s">
        <v>95</v>
      </c>
      <c r="D22" s="2" t="s">
        <v>77</v>
      </c>
      <c r="E22" s="2" t="n">
        <v>2024</v>
      </c>
      <c r="F22" s="2" t="s">
        <v>23</v>
      </c>
      <c r="G22" s="2" t="s">
        <v>24</v>
      </c>
      <c r="H22" s="2" t="s">
        <v>25</v>
      </c>
      <c r="I22" s="2" t="s">
        <v>55</v>
      </c>
      <c r="J22" s="2" t="n">
        <v>35</v>
      </c>
      <c r="K22" s="2" t="n">
        <v>860</v>
      </c>
      <c r="L22" s="3" t="n">
        <f aca="false">J22*K22</f>
        <v>30100</v>
      </c>
      <c r="M22" s="2" t="s">
        <v>27</v>
      </c>
      <c r="N22" s="3" t="n">
        <f aca="false">L22*(1-SUBSTITUTE(M22,"%","")/100)</f>
        <v>28595</v>
      </c>
      <c r="O22" s="3" t="n">
        <f aca="false">L22*0.65</f>
        <v>19565</v>
      </c>
      <c r="P22" s="3" t="n">
        <f aca="false">N22-O22</f>
        <v>9030</v>
      </c>
      <c r="Q22" s="4" t="n">
        <f aca="false">IF(N22&gt;0,P22/N22,0)</f>
        <v>0.315789473684211</v>
      </c>
      <c r="R22" s="2" t="s">
        <v>28</v>
      </c>
      <c r="S22" s="2" t="s">
        <v>29</v>
      </c>
    </row>
    <row r="23" customFormat="false" ht="15" hidden="false" customHeight="false" outlineLevel="0" collapsed="false">
      <c r="A23" s="5" t="s">
        <v>96</v>
      </c>
      <c r="B23" s="5" t="s">
        <v>97</v>
      </c>
      <c r="C23" s="5" t="s">
        <v>95</v>
      </c>
      <c r="D23" s="5" t="s">
        <v>77</v>
      </c>
      <c r="E23" s="5" t="n">
        <v>2024</v>
      </c>
      <c r="F23" s="5" t="s">
        <v>32</v>
      </c>
      <c r="G23" s="5" t="s">
        <v>33</v>
      </c>
      <c r="H23" s="5" t="s">
        <v>34</v>
      </c>
      <c r="I23" s="5" t="s">
        <v>61</v>
      </c>
      <c r="J23" s="5" t="n">
        <v>80</v>
      </c>
      <c r="K23" s="5" t="n">
        <v>320</v>
      </c>
      <c r="L23" s="6" t="n">
        <f aca="false">J23*K23</f>
        <v>25600</v>
      </c>
      <c r="M23" s="5" t="s">
        <v>36</v>
      </c>
      <c r="N23" s="6" t="n">
        <f aca="false">L23*(1-SUBSTITUTE(M23,"%","")/100)</f>
        <v>25600</v>
      </c>
      <c r="O23" s="6" t="n">
        <f aca="false">L23*0.52</f>
        <v>13312</v>
      </c>
      <c r="P23" s="6" t="n">
        <f aca="false">N23-O23</f>
        <v>12288</v>
      </c>
      <c r="Q23" s="7" t="n">
        <f aca="false">IF(N23&gt;0,P23/N23,0)</f>
        <v>0.48</v>
      </c>
      <c r="R23" s="5" t="s">
        <v>37</v>
      </c>
      <c r="S23" s="5" t="s">
        <v>29</v>
      </c>
    </row>
    <row r="24" customFormat="false" ht="15" hidden="false" customHeight="false" outlineLevel="0" collapsed="false">
      <c r="A24" s="2" t="s">
        <v>98</v>
      </c>
      <c r="B24" s="2" t="s">
        <v>99</v>
      </c>
      <c r="C24" s="2" t="s">
        <v>95</v>
      </c>
      <c r="D24" s="2" t="s">
        <v>77</v>
      </c>
      <c r="E24" s="2" t="n">
        <v>2024</v>
      </c>
      <c r="F24" s="2" t="s">
        <v>40</v>
      </c>
      <c r="G24" s="2" t="s">
        <v>41</v>
      </c>
      <c r="H24" s="2" t="s">
        <v>49</v>
      </c>
      <c r="I24" s="2" t="s">
        <v>58</v>
      </c>
      <c r="J24" s="2" t="n">
        <v>20</v>
      </c>
      <c r="K24" s="2" t="n">
        <v>420</v>
      </c>
      <c r="L24" s="3" t="n">
        <f aca="false">J24*K24</f>
        <v>8400</v>
      </c>
      <c r="M24" s="2" t="s">
        <v>51</v>
      </c>
      <c r="N24" s="3" t="n">
        <f aca="false">L24*(1-SUBSTITUTE(M24,"%","")/100)</f>
        <v>8232</v>
      </c>
      <c r="O24" s="3" t="n">
        <f aca="false">L24*0.7</f>
        <v>5880</v>
      </c>
      <c r="P24" s="3" t="n">
        <f aca="false">N24-O24</f>
        <v>2352</v>
      </c>
      <c r="Q24" s="4" t="n">
        <f aca="false">IF(N24&gt;0,P24/N24,0)</f>
        <v>0.285714285714286</v>
      </c>
      <c r="R24" s="2" t="s">
        <v>37</v>
      </c>
      <c r="S24" s="2" t="s">
        <v>29</v>
      </c>
    </row>
    <row r="25" customFormat="false" ht="15" hidden="false" customHeight="false" outlineLevel="0" collapsed="false">
      <c r="A25" s="5" t="s">
        <v>100</v>
      </c>
      <c r="B25" s="5" t="s">
        <v>101</v>
      </c>
      <c r="C25" s="5" t="s">
        <v>95</v>
      </c>
      <c r="D25" s="5" t="s">
        <v>77</v>
      </c>
      <c r="E25" s="5" t="n">
        <v>2024</v>
      </c>
      <c r="F25" s="5" t="s">
        <v>47</v>
      </c>
      <c r="G25" s="5" t="s">
        <v>48</v>
      </c>
      <c r="H25" s="5" t="s">
        <v>42</v>
      </c>
      <c r="I25" s="5" t="s">
        <v>64</v>
      </c>
      <c r="J25" s="5" t="n">
        <v>45</v>
      </c>
      <c r="K25" s="5" t="n">
        <v>280</v>
      </c>
      <c r="L25" s="6" t="n">
        <f aca="false">J25*K25</f>
        <v>12600</v>
      </c>
      <c r="M25" s="5" t="s">
        <v>36</v>
      </c>
      <c r="N25" s="6" t="n">
        <f aca="false">L25*(1-SUBSTITUTE(M25,"%","")/100)</f>
        <v>12600</v>
      </c>
      <c r="O25" s="6" t="n">
        <f aca="false">L25*0.61</f>
        <v>7686</v>
      </c>
      <c r="P25" s="6" t="n">
        <f aca="false">N25-O25</f>
        <v>4914</v>
      </c>
      <c r="Q25" s="7" t="n">
        <f aca="false">IF(N25&gt;0,P25/N25,0)</f>
        <v>0.39</v>
      </c>
      <c r="R25" s="5" t="s">
        <v>28</v>
      </c>
      <c r="S25" s="5" t="s">
        <v>29</v>
      </c>
    </row>
    <row r="26" customFormat="false" ht="15" hidden="false" customHeight="false" outlineLevel="0" collapsed="false">
      <c r="A26" s="2" t="s">
        <v>102</v>
      </c>
      <c r="B26" s="2" t="s">
        <v>103</v>
      </c>
      <c r="C26" s="2" t="s">
        <v>104</v>
      </c>
      <c r="D26" s="2" t="s">
        <v>105</v>
      </c>
      <c r="E26" s="2" t="n">
        <v>2024</v>
      </c>
      <c r="F26" s="2" t="s">
        <v>23</v>
      </c>
      <c r="G26" s="2" t="s">
        <v>24</v>
      </c>
      <c r="H26" s="2" t="s">
        <v>25</v>
      </c>
      <c r="I26" s="2" t="s">
        <v>26</v>
      </c>
      <c r="J26" s="2" t="n">
        <v>20</v>
      </c>
      <c r="K26" s="2" t="n">
        <v>3200</v>
      </c>
      <c r="L26" s="3" t="n">
        <f aca="false">J26*K26</f>
        <v>64000</v>
      </c>
      <c r="M26" s="2" t="s">
        <v>27</v>
      </c>
      <c r="N26" s="3" t="n">
        <f aca="false">L26*(1-SUBSTITUTE(M26,"%","")/100)</f>
        <v>60800</v>
      </c>
      <c r="O26" s="3" t="n">
        <f aca="false">L26*0.65</f>
        <v>41600</v>
      </c>
      <c r="P26" s="3" t="n">
        <f aca="false">N26-O26</f>
        <v>19200</v>
      </c>
      <c r="Q26" s="4" t="n">
        <f aca="false">IF(N26&gt;0,P26/N26,0)</f>
        <v>0.315789473684211</v>
      </c>
      <c r="R26" s="2" t="s">
        <v>28</v>
      </c>
      <c r="S26" s="2" t="s">
        <v>29</v>
      </c>
    </row>
    <row r="27" customFormat="false" ht="15" hidden="false" customHeight="false" outlineLevel="0" collapsed="false">
      <c r="A27" s="5" t="s">
        <v>106</v>
      </c>
      <c r="B27" s="5" t="s">
        <v>107</v>
      </c>
      <c r="C27" s="5" t="s">
        <v>104</v>
      </c>
      <c r="D27" s="5" t="s">
        <v>105</v>
      </c>
      <c r="E27" s="5" t="n">
        <v>2024</v>
      </c>
      <c r="F27" s="5" t="s">
        <v>32</v>
      </c>
      <c r="G27" s="5" t="s">
        <v>33</v>
      </c>
      <c r="H27" s="5" t="s">
        <v>49</v>
      </c>
      <c r="I27" s="5" t="s">
        <v>50</v>
      </c>
      <c r="J27" s="5" t="n">
        <v>35</v>
      </c>
      <c r="K27" s="5" t="n">
        <v>620</v>
      </c>
      <c r="L27" s="6" t="n">
        <f aca="false">J27*K27</f>
        <v>21700</v>
      </c>
      <c r="M27" s="5" t="s">
        <v>36</v>
      </c>
      <c r="N27" s="6" t="n">
        <f aca="false">L27*(1-SUBSTITUTE(M27,"%","")/100)</f>
        <v>21700</v>
      </c>
      <c r="O27" s="6" t="n">
        <f aca="false">L27*0.7</f>
        <v>15190</v>
      </c>
      <c r="P27" s="6" t="n">
        <f aca="false">N27-O27</f>
        <v>6510</v>
      </c>
      <c r="Q27" s="7" t="n">
        <f aca="false">IF(N27&gt;0,P27/N27,0)</f>
        <v>0.3</v>
      </c>
      <c r="R27" s="5" t="s">
        <v>37</v>
      </c>
      <c r="S27" s="5" t="s">
        <v>29</v>
      </c>
    </row>
    <row r="28" customFormat="false" ht="15" hidden="false" customHeight="false" outlineLevel="0" collapsed="false">
      <c r="A28" s="2" t="s">
        <v>108</v>
      </c>
      <c r="B28" s="2" t="s">
        <v>109</v>
      </c>
      <c r="C28" s="2" t="s">
        <v>104</v>
      </c>
      <c r="D28" s="2" t="s">
        <v>105</v>
      </c>
      <c r="E28" s="2" t="n">
        <v>2024</v>
      </c>
      <c r="F28" s="2" t="s">
        <v>40</v>
      </c>
      <c r="G28" s="2" t="s">
        <v>41</v>
      </c>
      <c r="H28" s="2" t="s">
        <v>34</v>
      </c>
      <c r="I28" s="2" t="s">
        <v>35</v>
      </c>
      <c r="J28" s="2" t="n">
        <v>60</v>
      </c>
      <c r="K28" s="2" t="n">
        <v>480</v>
      </c>
      <c r="L28" s="3" t="n">
        <f aca="false">J28*K28</f>
        <v>28800</v>
      </c>
      <c r="M28" s="2" t="s">
        <v>44</v>
      </c>
      <c r="N28" s="3" t="n">
        <f aca="false">L28*(1-SUBSTITUTE(M28,"%","")/100)</f>
        <v>27936</v>
      </c>
      <c r="O28" s="3" t="n">
        <f aca="false">L28*0.52</f>
        <v>14976</v>
      </c>
      <c r="P28" s="3" t="n">
        <f aca="false">N28-O28</f>
        <v>12960</v>
      </c>
      <c r="Q28" s="4" t="n">
        <f aca="false">IF(N28&gt;0,P28/N28,0)</f>
        <v>0.463917525773196</v>
      </c>
      <c r="R28" s="2" t="s">
        <v>37</v>
      </c>
      <c r="S28" s="2" t="s">
        <v>29</v>
      </c>
    </row>
    <row r="29" customFormat="false" ht="15" hidden="false" customHeight="false" outlineLevel="0" collapsed="false">
      <c r="A29" s="5" t="s">
        <v>110</v>
      </c>
      <c r="B29" s="5" t="s">
        <v>111</v>
      </c>
      <c r="C29" s="5" t="s">
        <v>104</v>
      </c>
      <c r="D29" s="5" t="s">
        <v>105</v>
      </c>
      <c r="E29" s="5" t="n">
        <v>2024</v>
      </c>
      <c r="F29" s="5" t="s">
        <v>47</v>
      </c>
      <c r="G29" s="5" t="s">
        <v>48</v>
      </c>
      <c r="H29" s="5" t="s">
        <v>42</v>
      </c>
      <c r="I29" s="5" t="s">
        <v>43</v>
      </c>
      <c r="J29" s="5" t="n">
        <v>28</v>
      </c>
      <c r="K29" s="5" t="n">
        <v>750</v>
      </c>
      <c r="L29" s="6" t="n">
        <f aca="false">J29*K29</f>
        <v>21000</v>
      </c>
      <c r="M29" s="5" t="s">
        <v>36</v>
      </c>
      <c r="N29" s="6" t="n">
        <f aca="false">L29*(1-SUBSTITUTE(M29,"%","")/100)</f>
        <v>21000</v>
      </c>
      <c r="O29" s="6" t="n">
        <f aca="false">L29*0.61</f>
        <v>12810</v>
      </c>
      <c r="P29" s="6" t="n">
        <f aca="false">N29-O29</f>
        <v>8190</v>
      </c>
      <c r="Q29" s="7" t="n">
        <f aca="false">IF(N29&gt;0,P29/N29,0)</f>
        <v>0.39</v>
      </c>
      <c r="R29" s="5" t="s">
        <v>28</v>
      </c>
      <c r="S29" s="5" t="s">
        <v>29</v>
      </c>
    </row>
    <row r="30" customFormat="false" ht="15" hidden="false" customHeight="false" outlineLevel="0" collapsed="false">
      <c r="A30" s="2" t="s">
        <v>112</v>
      </c>
      <c r="B30" s="2" t="s">
        <v>113</v>
      </c>
      <c r="C30" s="2" t="s">
        <v>114</v>
      </c>
      <c r="D30" s="2" t="s">
        <v>105</v>
      </c>
      <c r="E30" s="2" t="n">
        <v>2024</v>
      </c>
      <c r="F30" s="2" t="s">
        <v>23</v>
      </c>
      <c r="G30" s="2" t="s">
        <v>24</v>
      </c>
      <c r="H30" s="2" t="s">
        <v>25</v>
      </c>
      <c r="I30" s="2" t="s">
        <v>55</v>
      </c>
      <c r="J30" s="2" t="n">
        <v>40</v>
      </c>
      <c r="K30" s="2" t="n">
        <v>860</v>
      </c>
      <c r="L30" s="3" t="n">
        <f aca="false">J30*K30</f>
        <v>34400</v>
      </c>
      <c r="M30" s="2" t="s">
        <v>27</v>
      </c>
      <c r="N30" s="3" t="n">
        <f aca="false">L30*(1-SUBSTITUTE(M30,"%","")/100)</f>
        <v>32680</v>
      </c>
      <c r="O30" s="3" t="n">
        <f aca="false">L30*0.65</f>
        <v>22360</v>
      </c>
      <c r="P30" s="3" t="n">
        <f aca="false">N30-O30</f>
        <v>10320</v>
      </c>
      <c r="Q30" s="4" t="n">
        <f aca="false">IF(N30&gt;0,P30/N30,0)</f>
        <v>0.315789473684211</v>
      </c>
      <c r="R30" s="2" t="s">
        <v>28</v>
      </c>
      <c r="S30" s="2" t="s">
        <v>29</v>
      </c>
    </row>
    <row r="31" customFormat="false" ht="15" hidden="false" customHeight="false" outlineLevel="0" collapsed="false">
      <c r="A31" s="5" t="s">
        <v>115</v>
      </c>
      <c r="B31" s="5" t="s">
        <v>116</v>
      </c>
      <c r="C31" s="5" t="s">
        <v>114</v>
      </c>
      <c r="D31" s="5" t="s">
        <v>105</v>
      </c>
      <c r="E31" s="5" t="n">
        <v>2024</v>
      </c>
      <c r="F31" s="5" t="s">
        <v>32</v>
      </c>
      <c r="G31" s="5" t="s">
        <v>33</v>
      </c>
      <c r="H31" s="5" t="s">
        <v>34</v>
      </c>
      <c r="I31" s="5" t="s">
        <v>61</v>
      </c>
      <c r="J31" s="5" t="n">
        <v>90</v>
      </c>
      <c r="K31" s="5" t="n">
        <v>320</v>
      </c>
      <c r="L31" s="6" t="n">
        <f aca="false">J31*K31</f>
        <v>28800</v>
      </c>
      <c r="M31" s="5" t="s">
        <v>36</v>
      </c>
      <c r="N31" s="6" t="n">
        <f aca="false">L31*(1-SUBSTITUTE(M31,"%","")/100)</f>
        <v>28800</v>
      </c>
      <c r="O31" s="6" t="n">
        <f aca="false">L31*0.52</f>
        <v>14976</v>
      </c>
      <c r="P31" s="6" t="n">
        <f aca="false">N31-O31</f>
        <v>13824</v>
      </c>
      <c r="Q31" s="7" t="n">
        <f aca="false">IF(N31&gt;0,P31/N31,0)</f>
        <v>0.48</v>
      </c>
      <c r="R31" s="5" t="s">
        <v>37</v>
      </c>
      <c r="S31" s="5" t="s">
        <v>29</v>
      </c>
    </row>
    <row r="32" customFormat="false" ht="15" hidden="false" customHeight="false" outlineLevel="0" collapsed="false">
      <c r="A32" s="2" t="s">
        <v>117</v>
      </c>
      <c r="B32" s="2" t="s">
        <v>118</v>
      </c>
      <c r="C32" s="2" t="s">
        <v>114</v>
      </c>
      <c r="D32" s="2" t="s">
        <v>105</v>
      </c>
      <c r="E32" s="2" t="n">
        <v>2024</v>
      </c>
      <c r="F32" s="2" t="s">
        <v>40</v>
      </c>
      <c r="G32" s="2" t="s">
        <v>41</v>
      </c>
      <c r="H32" s="2" t="s">
        <v>49</v>
      </c>
      <c r="I32" s="2" t="s">
        <v>58</v>
      </c>
      <c r="J32" s="2" t="n">
        <v>22</v>
      </c>
      <c r="K32" s="2" t="n">
        <v>420</v>
      </c>
      <c r="L32" s="3" t="n">
        <f aca="false">J32*K32</f>
        <v>9240</v>
      </c>
      <c r="M32" s="2" t="s">
        <v>51</v>
      </c>
      <c r="N32" s="3" t="n">
        <f aca="false">L32*(1-SUBSTITUTE(M32,"%","")/100)</f>
        <v>9055.2</v>
      </c>
      <c r="O32" s="3" t="n">
        <f aca="false">L32*0.7</f>
        <v>6468</v>
      </c>
      <c r="P32" s="3" t="n">
        <f aca="false">N32-O32</f>
        <v>2587.2</v>
      </c>
      <c r="Q32" s="4" t="n">
        <f aca="false">IF(N32&gt;0,P32/N32,0)</f>
        <v>0.285714285714286</v>
      </c>
      <c r="R32" s="2" t="s">
        <v>37</v>
      </c>
      <c r="S32" s="2" t="s">
        <v>29</v>
      </c>
    </row>
    <row r="33" customFormat="false" ht="15" hidden="false" customHeight="false" outlineLevel="0" collapsed="false">
      <c r="A33" s="5" t="s">
        <v>119</v>
      </c>
      <c r="B33" s="5" t="s">
        <v>120</v>
      </c>
      <c r="C33" s="5" t="s">
        <v>114</v>
      </c>
      <c r="D33" s="5" t="s">
        <v>105</v>
      </c>
      <c r="E33" s="5" t="n">
        <v>2024</v>
      </c>
      <c r="F33" s="5" t="s">
        <v>47</v>
      </c>
      <c r="G33" s="5" t="s">
        <v>48</v>
      </c>
      <c r="H33" s="5" t="s">
        <v>42</v>
      </c>
      <c r="I33" s="5" t="s">
        <v>64</v>
      </c>
      <c r="J33" s="5" t="n">
        <v>50</v>
      </c>
      <c r="K33" s="5" t="n">
        <v>280</v>
      </c>
      <c r="L33" s="6" t="n">
        <f aca="false">J33*K33</f>
        <v>14000</v>
      </c>
      <c r="M33" s="5" t="s">
        <v>36</v>
      </c>
      <c r="N33" s="6" t="n">
        <f aca="false">L33*(1-SUBSTITUTE(M33,"%","")/100)</f>
        <v>14000</v>
      </c>
      <c r="O33" s="6" t="n">
        <f aca="false">L33*0.61</f>
        <v>8540</v>
      </c>
      <c r="P33" s="6" t="n">
        <f aca="false">N33-O33</f>
        <v>5460</v>
      </c>
      <c r="Q33" s="7" t="n">
        <f aca="false">IF(N33&gt;0,P33/N33,0)</f>
        <v>0.39</v>
      </c>
      <c r="R33" s="5" t="s">
        <v>28</v>
      </c>
      <c r="S33" s="5" t="s">
        <v>29</v>
      </c>
    </row>
    <row r="34" customFormat="false" ht="15" hidden="false" customHeight="false" outlineLevel="0" collapsed="false">
      <c r="A34" s="2" t="s">
        <v>121</v>
      </c>
      <c r="B34" s="2" t="s">
        <v>122</v>
      </c>
      <c r="C34" s="2" t="s">
        <v>123</v>
      </c>
      <c r="D34" s="2" t="s">
        <v>105</v>
      </c>
      <c r="E34" s="2" t="n">
        <v>2024</v>
      </c>
      <c r="F34" s="2" t="s">
        <v>23</v>
      </c>
      <c r="G34" s="2" t="s">
        <v>24</v>
      </c>
      <c r="H34" s="2" t="s">
        <v>25</v>
      </c>
      <c r="I34" s="2" t="s">
        <v>26</v>
      </c>
      <c r="J34" s="2" t="n">
        <v>22</v>
      </c>
      <c r="K34" s="2" t="n">
        <v>3200</v>
      </c>
      <c r="L34" s="3" t="n">
        <f aca="false">J34*K34</f>
        <v>70400</v>
      </c>
      <c r="M34" s="2" t="s">
        <v>27</v>
      </c>
      <c r="N34" s="3" t="n">
        <f aca="false">L34*(1-SUBSTITUTE(M34,"%","")/100)</f>
        <v>66880</v>
      </c>
      <c r="O34" s="3" t="n">
        <f aca="false">L34*0.65</f>
        <v>45760</v>
      </c>
      <c r="P34" s="3" t="n">
        <f aca="false">N34-O34</f>
        <v>21120</v>
      </c>
      <c r="Q34" s="4" t="n">
        <f aca="false">IF(N34&gt;0,P34/N34,0)</f>
        <v>0.315789473684211</v>
      </c>
      <c r="R34" s="2" t="s">
        <v>28</v>
      </c>
      <c r="S34" s="2" t="s">
        <v>29</v>
      </c>
    </row>
    <row r="35" customFormat="false" ht="15" hidden="false" customHeight="false" outlineLevel="0" collapsed="false">
      <c r="A35" s="5" t="s">
        <v>124</v>
      </c>
      <c r="B35" s="5" t="s">
        <v>125</v>
      </c>
      <c r="C35" s="5" t="s">
        <v>123</v>
      </c>
      <c r="D35" s="5" t="s">
        <v>105</v>
      </c>
      <c r="E35" s="5" t="n">
        <v>2024</v>
      </c>
      <c r="F35" s="5" t="s">
        <v>32</v>
      </c>
      <c r="G35" s="5" t="s">
        <v>33</v>
      </c>
      <c r="H35" s="5" t="s">
        <v>49</v>
      </c>
      <c r="I35" s="5" t="s">
        <v>50</v>
      </c>
      <c r="J35" s="5" t="n">
        <v>40</v>
      </c>
      <c r="K35" s="5" t="n">
        <v>620</v>
      </c>
      <c r="L35" s="6" t="n">
        <f aca="false">J35*K35</f>
        <v>24800</v>
      </c>
      <c r="M35" s="5" t="s">
        <v>36</v>
      </c>
      <c r="N35" s="6" t="n">
        <f aca="false">L35*(1-SUBSTITUTE(M35,"%","")/100)</f>
        <v>24800</v>
      </c>
      <c r="O35" s="6" t="n">
        <f aca="false">L35*0.7</f>
        <v>17360</v>
      </c>
      <c r="P35" s="6" t="n">
        <f aca="false">N35-O35</f>
        <v>7440</v>
      </c>
      <c r="Q35" s="7" t="n">
        <f aca="false">IF(N35&gt;0,P35/N35,0)</f>
        <v>0.3</v>
      </c>
      <c r="R35" s="5" t="s">
        <v>37</v>
      </c>
      <c r="S35" s="5" t="s">
        <v>29</v>
      </c>
    </row>
    <row r="36" customFormat="false" ht="15" hidden="false" customHeight="false" outlineLevel="0" collapsed="false">
      <c r="A36" s="2" t="s">
        <v>126</v>
      </c>
      <c r="B36" s="2" t="s">
        <v>127</v>
      </c>
      <c r="C36" s="2" t="s">
        <v>123</v>
      </c>
      <c r="D36" s="2" t="s">
        <v>105</v>
      </c>
      <c r="E36" s="2" t="n">
        <v>2024</v>
      </c>
      <c r="F36" s="2" t="s">
        <v>40</v>
      </c>
      <c r="G36" s="2" t="s">
        <v>41</v>
      </c>
      <c r="H36" s="2" t="s">
        <v>34</v>
      </c>
      <c r="I36" s="2" t="s">
        <v>35</v>
      </c>
      <c r="J36" s="2" t="n">
        <v>65</v>
      </c>
      <c r="K36" s="2" t="n">
        <v>480</v>
      </c>
      <c r="L36" s="3" t="n">
        <f aca="false">J36*K36</f>
        <v>31200</v>
      </c>
      <c r="M36" s="2" t="s">
        <v>44</v>
      </c>
      <c r="N36" s="3" t="n">
        <f aca="false">L36*(1-SUBSTITUTE(M36,"%","")/100)</f>
        <v>30264</v>
      </c>
      <c r="O36" s="3" t="n">
        <f aca="false">L36*0.52</f>
        <v>16224</v>
      </c>
      <c r="P36" s="3" t="n">
        <f aca="false">N36-O36</f>
        <v>14040</v>
      </c>
      <c r="Q36" s="4" t="n">
        <f aca="false">IF(N36&gt;0,P36/N36,0)</f>
        <v>0.463917525773196</v>
      </c>
      <c r="R36" s="2" t="s">
        <v>37</v>
      </c>
      <c r="S36" s="2" t="s">
        <v>29</v>
      </c>
    </row>
    <row r="37" customFormat="false" ht="15" hidden="false" customHeight="false" outlineLevel="0" collapsed="false">
      <c r="A37" s="5" t="s">
        <v>128</v>
      </c>
      <c r="B37" s="5" t="s">
        <v>129</v>
      </c>
      <c r="C37" s="5" t="s">
        <v>123</v>
      </c>
      <c r="D37" s="5" t="s">
        <v>105</v>
      </c>
      <c r="E37" s="5" t="n">
        <v>2024</v>
      </c>
      <c r="F37" s="5" t="s">
        <v>47</v>
      </c>
      <c r="G37" s="5" t="s">
        <v>48</v>
      </c>
      <c r="H37" s="5" t="s">
        <v>42</v>
      </c>
      <c r="I37" s="5" t="s">
        <v>43</v>
      </c>
      <c r="J37" s="5" t="n">
        <v>30</v>
      </c>
      <c r="K37" s="5" t="n">
        <v>750</v>
      </c>
      <c r="L37" s="6" t="n">
        <f aca="false">J37*K37</f>
        <v>22500</v>
      </c>
      <c r="M37" s="5" t="s">
        <v>36</v>
      </c>
      <c r="N37" s="6" t="n">
        <f aca="false">L37*(1-SUBSTITUTE(M37,"%","")/100)</f>
        <v>22500</v>
      </c>
      <c r="O37" s="6" t="n">
        <f aca="false">L37*0.61</f>
        <v>13725</v>
      </c>
      <c r="P37" s="6" t="n">
        <f aca="false">N37-O37</f>
        <v>8775</v>
      </c>
      <c r="Q37" s="7" t="n">
        <f aca="false">IF(N37&gt;0,P37/N37,0)</f>
        <v>0.39</v>
      </c>
      <c r="R37" s="5" t="s">
        <v>28</v>
      </c>
      <c r="S37" s="5" t="s">
        <v>29</v>
      </c>
    </row>
    <row r="38" customFormat="false" ht="15" hidden="false" customHeight="false" outlineLevel="0" collapsed="false">
      <c r="A38" s="2" t="s">
        <v>130</v>
      </c>
      <c r="B38" s="2" t="s">
        <v>131</v>
      </c>
      <c r="C38" s="2" t="s">
        <v>132</v>
      </c>
      <c r="D38" s="2" t="s">
        <v>133</v>
      </c>
      <c r="E38" s="2" t="n">
        <v>2024</v>
      </c>
      <c r="F38" s="2" t="s">
        <v>23</v>
      </c>
      <c r="G38" s="2" t="s">
        <v>24</v>
      </c>
      <c r="H38" s="2" t="s">
        <v>25</v>
      </c>
      <c r="I38" s="2" t="s">
        <v>55</v>
      </c>
      <c r="J38" s="2" t="n">
        <v>45</v>
      </c>
      <c r="K38" s="2" t="n">
        <v>860</v>
      </c>
      <c r="L38" s="3" t="n">
        <f aca="false">J38*K38</f>
        <v>38700</v>
      </c>
      <c r="M38" s="2" t="s">
        <v>27</v>
      </c>
      <c r="N38" s="3" t="n">
        <f aca="false">L38*(1-SUBSTITUTE(M38,"%","")/100)</f>
        <v>36765</v>
      </c>
      <c r="O38" s="3" t="n">
        <f aca="false">L38*0.65</f>
        <v>25155</v>
      </c>
      <c r="P38" s="3" t="n">
        <f aca="false">N38-O38</f>
        <v>11610</v>
      </c>
      <c r="Q38" s="4" t="n">
        <f aca="false">IF(N38&gt;0,P38/N38,0)</f>
        <v>0.315789473684211</v>
      </c>
      <c r="R38" s="2" t="s">
        <v>28</v>
      </c>
      <c r="S38" s="2" t="s">
        <v>29</v>
      </c>
    </row>
    <row r="39" customFormat="false" ht="15" hidden="false" customHeight="false" outlineLevel="0" collapsed="false">
      <c r="A39" s="5" t="s">
        <v>134</v>
      </c>
      <c r="B39" s="5" t="s">
        <v>135</v>
      </c>
      <c r="C39" s="5" t="s">
        <v>132</v>
      </c>
      <c r="D39" s="5" t="s">
        <v>133</v>
      </c>
      <c r="E39" s="5" t="n">
        <v>2024</v>
      </c>
      <c r="F39" s="5" t="s">
        <v>32</v>
      </c>
      <c r="G39" s="5" t="s">
        <v>33</v>
      </c>
      <c r="H39" s="5" t="s">
        <v>34</v>
      </c>
      <c r="I39" s="5" t="s">
        <v>61</v>
      </c>
      <c r="J39" s="5" t="n">
        <v>95</v>
      </c>
      <c r="K39" s="5" t="n">
        <v>320</v>
      </c>
      <c r="L39" s="6" t="n">
        <f aca="false">J39*K39</f>
        <v>30400</v>
      </c>
      <c r="M39" s="5" t="s">
        <v>36</v>
      </c>
      <c r="N39" s="6" t="n">
        <f aca="false">L39*(1-SUBSTITUTE(M39,"%","")/100)</f>
        <v>30400</v>
      </c>
      <c r="O39" s="6" t="n">
        <f aca="false">L39*0.52</f>
        <v>15808</v>
      </c>
      <c r="P39" s="6" t="n">
        <f aca="false">N39-O39</f>
        <v>14592</v>
      </c>
      <c r="Q39" s="7" t="n">
        <f aca="false">IF(N39&gt;0,P39/N39,0)</f>
        <v>0.48</v>
      </c>
      <c r="R39" s="5" t="s">
        <v>37</v>
      </c>
      <c r="S39" s="5" t="s">
        <v>29</v>
      </c>
    </row>
    <row r="40" customFormat="false" ht="15" hidden="false" customHeight="false" outlineLevel="0" collapsed="false">
      <c r="A40" s="2" t="s">
        <v>136</v>
      </c>
      <c r="B40" s="2" t="s">
        <v>137</v>
      </c>
      <c r="C40" s="2" t="s">
        <v>132</v>
      </c>
      <c r="D40" s="2" t="s">
        <v>133</v>
      </c>
      <c r="E40" s="2" t="n">
        <v>2024</v>
      </c>
      <c r="F40" s="2" t="s">
        <v>40</v>
      </c>
      <c r="G40" s="2" t="s">
        <v>41</v>
      </c>
      <c r="H40" s="2" t="s">
        <v>49</v>
      </c>
      <c r="I40" s="2" t="s">
        <v>58</v>
      </c>
      <c r="J40" s="2" t="n">
        <v>25</v>
      </c>
      <c r="K40" s="2" t="n">
        <v>420</v>
      </c>
      <c r="L40" s="3" t="n">
        <f aca="false">J40*K40</f>
        <v>10500</v>
      </c>
      <c r="M40" s="2" t="s">
        <v>51</v>
      </c>
      <c r="N40" s="3" t="n">
        <f aca="false">L40*(1-SUBSTITUTE(M40,"%","")/100)</f>
        <v>10290</v>
      </c>
      <c r="O40" s="3" t="n">
        <f aca="false">L40*0.7</f>
        <v>7350</v>
      </c>
      <c r="P40" s="3" t="n">
        <f aca="false">N40-O40</f>
        <v>2940</v>
      </c>
      <c r="Q40" s="4" t="n">
        <f aca="false">IF(N40&gt;0,P40/N40,0)</f>
        <v>0.285714285714286</v>
      </c>
      <c r="R40" s="2" t="s">
        <v>37</v>
      </c>
      <c r="S40" s="2" t="s">
        <v>29</v>
      </c>
    </row>
    <row r="41" customFormat="false" ht="15" hidden="false" customHeight="false" outlineLevel="0" collapsed="false">
      <c r="A41" s="5" t="s">
        <v>138</v>
      </c>
      <c r="B41" s="5" t="s">
        <v>139</v>
      </c>
      <c r="C41" s="5" t="s">
        <v>132</v>
      </c>
      <c r="D41" s="5" t="s">
        <v>133</v>
      </c>
      <c r="E41" s="5" t="n">
        <v>2024</v>
      </c>
      <c r="F41" s="5" t="s">
        <v>47</v>
      </c>
      <c r="G41" s="5" t="s">
        <v>48</v>
      </c>
      <c r="H41" s="5" t="s">
        <v>42</v>
      </c>
      <c r="I41" s="5" t="s">
        <v>64</v>
      </c>
      <c r="J41" s="5" t="n">
        <v>55</v>
      </c>
      <c r="K41" s="5" t="n">
        <v>280</v>
      </c>
      <c r="L41" s="6" t="n">
        <f aca="false">J41*K41</f>
        <v>15400</v>
      </c>
      <c r="M41" s="5" t="s">
        <v>36</v>
      </c>
      <c r="N41" s="6" t="n">
        <f aca="false">L41*(1-SUBSTITUTE(M41,"%","")/100)</f>
        <v>15400</v>
      </c>
      <c r="O41" s="6" t="n">
        <f aca="false">L41*0.61</f>
        <v>9394</v>
      </c>
      <c r="P41" s="6" t="n">
        <f aca="false">N41-O41</f>
        <v>6006</v>
      </c>
      <c r="Q41" s="7" t="n">
        <f aca="false">IF(N41&gt;0,P41/N41,0)</f>
        <v>0.39</v>
      </c>
      <c r="R41" s="5" t="s">
        <v>28</v>
      </c>
      <c r="S41" s="5" t="s">
        <v>29</v>
      </c>
    </row>
    <row r="42" customFormat="false" ht="15" hidden="false" customHeight="false" outlineLevel="0" collapsed="false">
      <c r="A42" s="2" t="s">
        <v>140</v>
      </c>
      <c r="B42" s="2" t="s">
        <v>141</v>
      </c>
      <c r="C42" s="2" t="s">
        <v>142</v>
      </c>
      <c r="D42" s="2" t="s">
        <v>133</v>
      </c>
      <c r="E42" s="2" t="n">
        <v>2024</v>
      </c>
      <c r="F42" s="2" t="s">
        <v>23</v>
      </c>
      <c r="G42" s="2" t="s">
        <v>24</v>
      </c>
      <c r="H42" s="2" t="s">
        <v>25</v>
      </c>
      <c r="I42" s="2" t="s">
        <v>26</v>
      </c>
      <c r="J42" s="2" t="n">
        <v>28</v>
      </c>
      <c r="K42" s="2" t="n">
        <v>3200</v>
      </c>
      <c r="L42" s="3" t="n">
        <f aca="false">J42*K42</f>
        <v>89600</v>
      </c>
      <c r="M42" s="2" t="s">
        <v>27</v>
      </c>
      <c r="N42" s="3" t="n">
        <f aca="false">L42*(1-SUBSTITUTE(M42,"%","")/100)</f>
        <v>85120</v>
      </c>
      <c r="O42" s="3" t="n">
        <f aca="false">L42*0.65</f>
        <v>58240</v>
      </c>
      <c r="P42" s="3" t="n">
        <f aca="false">N42-O42</f>
        <v>26880</v>
      </c>
      <c r="Q42" s="4" t="n">
        <f aca="false">IF(N42&gt;0,P42/N42,0)</f>
        <v>0.315789473684211</v>
      </c>
      <c r="R42" s="2" t="s">
        <v>28</v>
      </c>
      <c r="S42" s="2" t="s">
        <v>29</v>
      </c>
    </row>
    <row r="43" customFormat="false" ht="15" hidden="false" customHeight="false" outlineLevel="0" collapsed="false">
      <c r="A43" s="5" t="s">
        <v>143</v>
      </c>
      <c r="B43" s="5" t="s">
        <v>144</v>
      </c>
      <c r="C43" s="5" t="s">
        <v>142</v>
      </c>
      <c r="D43" s="5" t="s">
        <v>133</v>
      </c>
      <c r="E43" s="5" t="n">
        <v>2024</v>
      </c>
      <c r="F43" s="5" t="s">
        <v>32</v>
      </c>
      <c r="G43" s="5" t="s">
        <v>33</v>
      </c>
      <c r="H43" s="5" t="s">
        <v>49</v>
      </c>
      <c r="I43" s="5" t="s">
        <v>50</v>
      </c>
      <c r="J43" s="5" t="n">
        <v>45</v>
      </c>
      <c r="K43" s="5" t="n">
        <v>620</v>
      </c>
      <c r="L43" s="6" t="n">
        <f aca="false">J43*K43</f>
        <v>27900</v>
      </c>
      <c r="M43" s="5" t="s">
        <v>36</v>
      </c>
      <c r="N43" s="6" t="n">
        <f aca="false">L43*(1-SUBSTITUTE(M43,"%","")/100)</f>
        <v>27900</v>
      </c>
      <c r="O43" s="6" t="n">
        <f aca="false">L43*0.7</f>
        <v>19530</v>
      </c>
      <c r="P43" s="6" t="n">
        <f aca="false">N43-O43</f>
        <v>8370</v>
      </c>
      <c r="Q43" s="7" t="n">
        <f aca="false">IF(N43&gt;0,P43/N43,0)</f>
        <v>0.3</v>
      </c>
      <c r="R43" s="5" t="s">
        <v>37</v>
      </c>
      <c r="S43" s="5" t="s">
        <v>29</v>
      </c>
    </row>
    <row r="44" customFormat="false" ht="15" hidden="false" customHeight="false" outlineLevel="0" collapsed="false">
      <c r="A44" s="2" t="s">
        <v>145</v>
      </c>
      <c r="B44" s="2" t="s">
        <v>146</v>
      </c>
      <c r="C44" s="2" t="s">
        <v>142</v>
      </c>
      <c r="D44" s="2" t="s">
        <v>133</v>
      </c>
      <c r="E44" s="2" t="n">
        <v>2024</v>
      </c>
      <c r="F44" s="2" t="s">
        <v>40</v>
      </c>
      <c r="G44" s="2" t="s">
        <v>41</v>
      </c>
      <c r="H44" s="2" t="s">
        <v>34</v>
      </c>
      <c r="I44" s="2" t="s">
        <v>35</v>
      </c>
      <c r="J44" s="2" t="n">
        <v>70</v>
      </c>
      <c r="K44" s="2" t="n">
        <v>480</v>
      </c>
      <c r="L44" s="3" t="n">
        <f aca="false">J44*K44</f>
        <v>33600</v>
      </c>
      <c r="M44" s="2" t="s">
        <v>44</v>
      </c>
      <c r="N44" s="3" t="n">
        <f aca="false">L44*(1-SUBSTITUTE(M44,"%","")/100)</f>
        <v>32592</v>
      </c>
      <c r="O44" s="3" t="n">
        <f aca="false">L44*0.52</f>
        <v>17472</v>
      </c>
      <c r="P44" s="3" t="n">
        <f aca="false">N44-O44</f>
        <v>15120</v>
      </c>
      <c r="Q44" s="4" t="n">
        <f aca="false">IF(N44&gt;0,P44/N44,0)</f>
        <v>0.463917525773196</v>
      </c>
      <c r="R44" s="2" t="s">
        <v>37</v>
      </c>
      <c r="S44" s="2" t="s">
        <v>29</v>
      </c>
    </row>
    <row r="45" customFormat="false" ht="15" hidden="false" customHeight="false" outlineLevel="0" collapsed="false">
      <c r="A45" s="5" t="s">
        <v>147</v>
      </c>
      <c r="B45" s="5" t="s">
        <v>148</v>
      </c>
      <c r="C45" s="5" t="s">
        <v>142</v>
      </c>
      <c r="D45" s="5" t="s">
        <v>133</v>
      </c>
      <c r="E45" s="5" t="n">
        <v>2024</v>
      </c>
      <c r="F45" s="5" t="s">
        <v>47</v>
      </c>
      <c r="G45" s="5" t="s">
        <v>48</v>
      </c>
      <c r="H45" s="5" t="s">
        <v>42</v>
      </c>
      <c r="I45" s="5" t="s">
        <v>43</v>
      </c>
      <c r="J45" s="5" t="n">
        <v>35</v>
      </c>
      <c r="K45" s="5" t="n">
        <v>750</v>
      </c>
      <c r="L45" s="6" t="n">
        <f aca="false">J45*K45</f>
        <v>26250</v>
      </c>
      <c r="M45" s="5" t="s">
        <v>36</v>
      </c>
      <c r="N45" s="6" t="n">
        <f aca="false">L45*(1-SUBSTITUTE(M45,"%","")/100)</f>
        <v>26250</v>
      </c>
      <c r="O45" s="6" t="n">
        <f aca="false">L45*0.61</f>
        <v>16012.5</v>
      </c>
      <c r="P45" s="6" t="n">
        <f aca="false">N45-O45</f>
        <v>10237.5</v>
      </c>
      <c r="Q45" s="7" t="n">
        <f aca="false">IF(N45&gt;0,P45/N45,0)</f>
        <v>0.39</v>
      </c>
      <c r="R45" s="5" t="s">
        <v>28</v>
      </c>
      <c r="S45" s="5" t="s">
        <v>29</v>
      </c>
    </row>
    <row r="46" customFormat="false" ht="15" hidden="false" customHeight="false" outlineLevel="0" collapsed="false">
      <c r="A46" s="2" t="s">
        <v>149</v>
      </c>
      <c r="B46" s="2" t="s">
        <v>150</v>
      </c>
      <c r="C46" s="2" t="s">
        <v>151</v>
      </c>
      <c r="D46" s="2" t="s">
        <v>133</v>
      </c>
      <c r="E46" s="2" t="n">
        <v>2024</v>
      </c>
      <c r="F46" s="2" t="s">
        <v>23</v>
      </c>
      <c r="G46" s="2" t="s">
        <v>24</v>
      </c>
      <c r="H46" s="2" t="s">
        <v>25</v>
      </c>
      <c r="I46" s="2" t="s">
        <v>55</v>
      </c>
      <c r="J46" s="2" t="n">
        <v>50</v>
      </c>
      <c r="K46" s="2" t="n">
        <v>860</v>
      </c>
      <c r="L46" s="3" t="n">
        <f aca="false">J46*K46</f>
        <v>43000</v>
      </c>
      <c r="M46" s="2" t="s">
        <v>27</v>
      </c>
      <c r="N46" s="3" t="n">
        <f aca="false">L46*(1-SUBSTITUTE(M46,"%","")/100)</f>
        <v>40850</v>
      </c>
      <c r="O46" s="3" t="n">
        <f aca="false">L46*0.65</f>
        <v>27950</v>
      </c>
      <c r="P46" s="3" t="n">
        <f aca="false">N46-O46</f>
        <v>12900</v>
      </c>
      <c r="Q46" s="4" t="n">
        <f aca="false">IF(N46&gt;0,P46/N46,0)</f>
        <v>0.315789473684211</v>
      </c>
      <c r="R46" s="2" t="s">
        <v>28</v>
      </c>
      <c r="S46" s="2" t="s">
        <v>29</v>
      </c>
    </row>
    <row r="47" customFormat="false" ht="15" hidden="false" customHeight="false" outlineLevel="0" collapsed="false">
      <c r="A47" s="5" t="s">
        <v>152</v>
      </c>
      <c r="B47" s="5" t="s">
        <v>153</v>
      </c>
      <c r="C47" s="5" t="s">
        <v>151</v>
      </c>
      <c r="D47" s="5" t="s">
        <v>133</v>
      </c>
      <c r="E47" s="5" t="n">
        <v>2024</v>
      </c>
      <c r="F47" s="5" t="s">
        <v>32</v>
      </c>
      <c r="G47" s="5" t="s">
        <v>33</v>
      </c>
      <c r="H47" s="5" t="s">
        <v>34</v>
      </c>
      <c r="I47" s="5" t="s">
        <v>61</v>
      </c>
      <c r="J47" s="5" t="n">
        <v>100</v>
      </c>
      <c r="K47" s="5" t="n">
        <v>320</v>
      </c>
      <c r="L47" s="6" t="n">
        <f aca="false">J47*K47</f>
        <v>32000</v>
      </c>
      <c r="M47" s="5" t="s">
        <v>36</v>
      </c>
      <c r="N47" s="6" t="n">
        <f aca="false">L47*(1-SUBSTITUTE(M47,"%","")/100)</f>
        <v>32000</v>
      </c>
      <c r="O47" s="6" t="n">
        <f aca="false">L47*0.52</f>
        <v>16640</v>
      </c>
      <c r="P47" s="6" t="n">
        <f aca="false">N47-O47</f>
        <v>15360</v>
      </c>
      <c r="Q47" s="7" t="n">
        <f aca="false">IF(N47&gt;0,P47/N47,0)</f>
        <v>0.48</v>
      </c>
      <c r="R47" s="5" t="s">
        <v>37</v>
      </c>
      <c r="S47" s="5" t="s">
        <v>29</v>
      </c>
    </row>
    <row r="48" customFormat="false" ht="15" hidden="false" customHeight="false" outlineLevel="0" collapsed="false">
      <c r="A48" s="2" t="s">
        <v>154</v>
      </c>
      <c r="B48" s="2" t="s">
        <v>155</v>
      </c>
      <c r="C48" s="2" t="s">
        <v>151</v>
      </c>
      <c r="D48" s="2" t="s">
        <v>133</v>
      </c>
      <c r="E48" s="2" t="n">
        <v>2024</v>
      </c>
      <c r="F48" s="2" t="s">
        <v>40</v>
      </c>
      <c r="G48" s="2" t="s">
        <v>41</v>
      </c>
      <c r="H48" s="2" t="s">
        <v>49</v>
      </c>
      <c r="I48" s="2" t="s">
        <v>50</v>
      </c>
      <c r="J48" s="2" t="n">
        <v>50</v>
      </c>
      <c r="K48" s="2" t="n">
        <v>620</v>
      </c>
      <c r="L48" s="3" t="n">
        <f aca="false">J48*K48</f>
        <v>31000</v>
      </c>
      <c r="M48" s="2" t="s">
        <v>51</v>
      </c>
      <c r="N48" s="3" t="n">
        <f aca="false">L48*(1-SUBSTITUTE(M48,"%","")/100)</f>
        <v>30380</v>
      </c>
      <c r="O48" s="3" t="n">
        <f aca="false">L48*0.7</f>
        <v>21700</v>
      </c>
      <c r="P48" s="3" t="n">
        <f aca="false">N48-O48</f>
        <v>8680</v>
      </c>
      <c r="Q48" s="4" t="n">
        <f aca="false">IF(N48&gt;0,P48/N48,0)</f>
        <v>0.285714285714286</v>
      </c>
      <c r="R48" s="2" t="s">
        <v>37</v>
      </c>
      <c r="S48" s="2" t="s">
        <v>29</v>
      </c>
    </row>
    <row r="49" customFormat="false" ht="15" hidden="false" customHeight="false" outlineLevel="0" collapsed="false">
      <c r="A49" s="5" t="s">
        <v>156</v>
      </c>
      <c r="B49" s="5" t="s">
        <v>157</v>
      </c>
      <c r="C49" s="5" t="s">
        <v>151</v>
      </c>
      <c r="D49" s="5" t="s">
        <v>133</v>
      </c>
      <c r="E49" s="5" t="n">
        <v>2024</v>
      </c>
      <c r="F49" s="5" t="s">
        <v>47</v>
      </c>
      <c r="G49" s="5" t="s">
        <v>48</v>
      </c>
      <c r="H49" s="5" t="s">
        <v>42</v>
      </c>
      <c r="I49" s="5" t="s">
        <v>64</v>
      </c>
      <c r="J49" s="5" t="n">
        <v>60</v>
      </c>
      <c r="K49" s="5" t="n">
        <v>280</v>
      </c>
      <c r="L49" s="6" t="n">
        <f aca="false">J49*K49</f>
        <v>16800</v>
      </c>
      <c r="M49" s="5" t="s">
        <v>36</v>
      </c>
      <c r="N49" s="6" t="n">
        <f aca="false">L49*(1-SUBSTITUTE(M49,"%","")/100)</f>
        <v>16800</v>
      </c>
      <c r="O49" s="6" t="n">
        <f aca="false">L49*0.61</f>
        <v>10248</v>
      </c>
      <c r="P49" s="6" t="n">
        <f aca="false">N49-O49</f>
        <v>6552</v>
      </c>
      <c r="Q49" s="7" t="n">
        <f aca="false">IF(N49&gt;0,P49/N49,0)</f>
        <v>0.39</v>
      </c>
      <c r="R49" s="5" t="s">
        <v>28</v>
      </c>
      <c r="S49" s="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4" min="3" style="0" width="16"/>
    <col collapsed="false" customWidth="true" hidden="false" outlineLevel="0" max="5" min="5" style="0" width="17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10" min="9" style="0" width="18"/>
  </cols>
  <sheetData>
    <row r="1" customFormat="false" ht="15" hidden="false" customHeight="false" outlineLevel="0" collapsed="false">
      <c r="A1" s="1" t="s">
        <v>2</v>
      </c>
      <c r="B1" s="1" t="s">
        <v>3</v>
      </c>
      <c r="C1" s="1" t="s">
        <v>11</v>
      </c>
      <c r="D1" s="1" t="s">
        <v>13</v>
      </c>
      <c r="E1" s="1" t="s">
        <v>15</v>
      </c>
      <c r="F1" s="1" t="s">
        <v>16</v>
      </c>
      <c r="G1" s="1" t="s">
        <v>9</v>
      </c>
      <c r="H1" s="1" t="s">
        <v>158</v>
      </c>
      <c r="I1" s="1" t="s">
        <v>159</v>
      </c>
      <c r="J1" s="1" t="s">
        <v>160</v>
      </c>
    </row>
    <row r="2" customFormat="false" ht="15" hidden="false" customHeight="false" outlineLevel="0" collapsed="false">
      <c r="A2" s="2" t="s">
        <v>21</v>
      </c>
      <c r="B2" s="2" t="s">
        <v>22</v>
      </c>
      <c r="C2" s="3" t="n">
        <v>42300</v>
      </c>
      <c r="D2" s="3" t="n">
        <v>40185</v>
      </c>
      <c r="E2" s="3" t="n">
        <v>14065</v>
      </c>
      <c r="F2" s="4" t="n">
        <v>0.35</v>
      </c>
      <c r="G2" s="2" t="n">
        <v>77</v>
      </c>
      <c r="H2" s="2" t="n">
        <v>4</v>
      </c>
      <c r="I2" s="3" t="n">
        <v>10575</v>
      </c>
      <c r="J2" s="2" t="s">
        <v>161</v>
      </c>
    </row>
    <row r="3" customFormat="false" ht="15" hidden="false" customHeight="false" outlineLevel="0" collapsed="false">
      <c r="A3" s="5" t="s">
        <v>54</v>
      </c>
      <c r="B3" s="5" t="s">
        <v>77</v>
      </c>
      <c r="C3" s="6" t="n">
        <v>38520</v>
      </c>
      <c r="D3" s="6" t="n">
        <v>37148</v>
      </c>
      <c r="E3" s="6" t="n">
        <v>12820</v>
      </c>
      <c r="F3" s="7" t="n">
        <v>0.345</v>
      </c>
      <c r="G3" s="5" t="n">
        <v>138</v>
      </c>
      <c r="H3" s="5" t="n">
        <v>4</v>
      </c>
      <c r="I3" s="6" t="n">
        <v>9630</v>
      </c>
      <c r="J3" s="7" t="n">
        <f aca="false">(C3-C2)/C2</f>
        <v>-0.0893617021276596</v>
      </c>
    </row>
    <row r="4" customFormat="false" ht="15" hidden="false" customHeight="false" outlineLevel="0" collapsed="false">
      <c r="A4" s="2" t="s">
        <v>67</v>
      </c>
      <c r="B4" s="2" t="s">
        <v>22</v>
      </c>
      <c r="C4" s="3" t="n">
        <v>51100</v>
      </c>
      <c r="D4" s="3" t="n">
        <v>48545</v>
      </c>
      <c r="E4" s="3" t="n">
        <v>17291</v>
      </c>
      <c r="F4" s="4" t="n">
        <v>0.356</v>
      </c>
      <c r="G4" s="2" t="n">
        <v>105</v>
      </c>
      <c r="H4" s="2" t="n">
        <v>4</v>
      </c>
      <c r="I4" s="3" t="n">
        <v>12775</v>
      </c>
      <c r="J4" s="4" t="n">
        <f aca="false">(C4-C3)/C3</f>
        <v>0.326583592938733</v>
      </c>
    </row>
    <row r="5" customFormat="false" ht="15" hidden="false" customHeight="false" outlineLevel="0" collapsed="false">
      <c r="A5" s="5" t="s">
        <v>76</v>
      </c>
      <c r="B5" s="5" t="s">
        <v>77</v>
      </c>
      <c r="C5" s="6" t="n">
        <v>48800</v>
      </c>
      <c r="D5" s="6" t="n">
        <v>46820</v>
      </c>
      <c r="E5" s="6" t="n">
        <v>16386</v>
      </c>
      <c r="F5" s="7" t="n">
        <v>0.35</v>
      </c>
      <c r="G5" s="5" t="n">
        <v>170</v>
      </c>
      <c r="H5" s="5" t="n">
        <v>4</v>
      </c>
      <c r="I5" s="6" t="n">
        <v>12200</v>
      </c>
      <c r="J5" s="7" t="n">
        <f aca="false">(C5-C4)/C4</f>
        <v>-0.0450097847358121</v>
      </c>
    </row>
    <row r="6" customFormat="false" ht="15" hidden="false" customHeight="false" outlineLevel="0" collapsed="false">
      <c r="A6" s="2" t="s">
        <v>86</v>
      </c>
      <c r="B6" s="2" t="s">
        <v>77</v>
      </c>
      <c r="C6" s="3" t="n">
        <v>55260</v>
      </c>
      <c r="D6" s="3" t="n">
        <v>53154</v>
      </c>
      <c r="E6" s="3" t="n">
        <v>18593</v>
      </c>
      <c r="F6" s="4" t="n">
        <v>0.35</v>
      </c>
      <c r="G6" s="2" t="n">
        <v>123</v>
      </c>
      <c r="H6" s="2" t="n">
        <v>4</v>
      </c>
      <c r="I6" s="3" t="n">
        <v>13815</v>
      </c>
      <c r="J6" s="4" t="n">
        <f aca="false">(C6-C5)/C5</f>
        <v>0.132377049180328</v>
      </c>
    </row>
    <row r="7" customFormat="false" ht="15" hidden="false" customHeight="false" outlineLevel="0" collapsed="false">
      <c r="A7" s="5" t="s">
        <v>95</v>
      </c>
      <c r="B7" s="5" t="s">
        <v>77</v>
      </c>
      <c r="C7" s="6" t="n">
        <v>61040</v>
      </c>
      <c r="D7" s="6" t="n">
        <v>58982</v>
      </c>
      <c r="E7" s="6" t="n">
        <v>21116</v>
      </c>
      <c r="F7" s="7" t="n">
        <v>0.358</v>
      </c>
      <c r="G7" s="5" t="n">
        <v>180</v>
      </c>
      <c r="H7" s="5" t="n">
        <v>4</v>
      </c>
      <c r="I7" s="6" t="n">
        <v>15260</v>
      </c>
      <c r="J7" s="7" t="n">
        <f aca="false">(C7-C6)/C6</f>
        <v>0.104596453130655</v>
      </c>
    </row>
    <row r="8" customFormat="false" ht="15" hidden="false" customHeight="false" outlineLevel="0" collapsed="false">
      <c r="A8" s="2" t="s">
        <v>104</v>
      </c>
      <c r="B8" s="2" t="s">
        <v>105</v>
      </c>
      <c r="C8" s="3" t="n">
        <v>57800</v>
      </c>
      <c r="D8" s="3" t="n">
        <v>55632</v>
      </c>
      <c r="E8" s="3" t="n">
        <v>19471</v>
      </c>
      <c r="F8" s="4" t="n">
        <v>0.35</v>
      </c>
      <c r="G8" s="2" t="n">
        <v>143</v>
      </c>
      <c r="H8" s="2" t="n">
        <v>4</v>
      </c>
      <c r="I8" s="3" t="n">
        <v>14450</v>
      </c>
      <c r="J8" s="4" t="n">
        <f aca="false">(C8-C7)/C7</f>
        <v>-0.0530799475753604</v>
      </c>
    </row>
    <row r="9" customFormat="false" ht="15" hidden="false" customHeight="false" outlineLevel="0" collapsed="false">
      <c r="A9" s="5" t="s">
        <v>114</v>
      </c>
      <c r="B9" s="5" t="s">
        <v>105</v>
      </c>
      <c r="C9" s="6" t="n">
        <v>63120</v>
      </c>
      <c r="D9" s="6" t="n">
        <v>60955</v>
      </c>
      <c r="E9" s="6" t="n">
        <v>21334</v>
      </c>
      <c r="F9" s="7" t="n">
        <v>0.35</v>
      </c>
      <c r="G9" s="5" t="n">
        <v>202</v>
      </c>
      <c r="H9" s="5" t="n">
        <v>4</v>
      </c>
      <c r="I9" s="6" t="n">
        <v>15780</v>
      </c>
      <c r="J9" s="7" t="n">
        <f aca="false">(C9-C8)/C8</f>
        <v>0.0920415224913495</v>
      </c>
    </row>
    <row r="10" customFormat="false" ht="15" hidden="false" customHeight="false" outlineLevel="0" collapsed="false">
      <c r="A10" s="2" t="s">
        <v>123</v>
      </c>
      <c r="B10" s="2" t="s">
        <v>105</v>
      </c>
      <c r="C10" s="3" t="n">
        <v>59300</v>
      </c>
      <c r="D10" s="3" t="n">
        <v>57149</v>
      </c>
      <c r="E10" s="3" t="n">
        <v>20002</v>
      </c>
      <c r="F10" s="4" t="n">
        <v>0.35</v>
      </c>
      <c r="G10" s="2" t="n">
        <v>157</v>
      </c>
      <c r="H10" s="2" t="n">
        <v>4</v>
      </c>
      <c r="I10" s="3" t="n">
        <v>14825</v>
      </c>
      <c r="J10" s="4" t="n">
        <f aca="false">(C10-C9)/C9</f>
        <v>-0.0605196451204056</v>
      </c>
    </row>
    <row r="11" customFormat="false" ht="15" hidden="false" customHeight="false" outlineLevel="0" collapsed="false">
      <c r="A11" s="5" t="s">
        <v>132</v>
      </c>
      <c r="B11" s="5" t="s">
        <v>133</v>
      </c>
      <c r="C11" s="6" t="n">
        <v>67380</v>
      </c>
      <c r="D11" s="6" t="n">
        <v>65008</v>
      </c>
      <c r="E11" s="6" t="n">
        <v>22753</v>
      </c>
      <c r="F11" s="7" t="n">
        <v>0.35</v>
      </c>
      <c r="G11" s="5" t="n">
        <v>220</v>
      </c>
      <c r="H11" s="5" t="n">
        <v>4</v>
      </c>
      <c r="I11" s="6" t="n">
        <v>16845</v>
      </c>
      <c r="J11" s="7" t="n">
        <f aca="false">(C11-C10)/C10</f>
        <v>0.136256323777403</v>
      </c>
    </row>
    <row r="12" customFormat="false" ht="15" hidden="false" customHeight="false" outlineLevel="0" collapsed="false">
      <c r="A12" s="2" t="s">
        <v>142</v>
      </c>
      <c r="B12" s="2" t="s">
        <v>133</v>
      </c>
      <c r="C12" s="3" t="n">
        <v>72120</v>
      </c>
      <c r="D12" s="3" t="n">
        <v>69876</v>
      </c>
      <c r="E12" s="3" t="n">
        <v>24457</v>
      </c>
      <c r="F12" s="4" t="n">
        <v>0.35</v>
      </c>
      <c r="G12" s="2" t="n">
        <v>178</v>
      </c>
      <c r="H12" s="2" t="n">
        <v>4</v>
      </c>
      <c r="I12" s="3" t="n">
        <v>18030</v>
      </c>
      <c r="J12" s="4" t="n">
        <f aca="false">(C12-C11)/C11</f>
        <v>0.0703472840605521</v>
      </c>
    </row>
    <row r="13" customFormat="false" ht="15" hidden="false" customHeight="false" outlineLevel="0" collapsed="false">
      <c r="A13" s="5" t="s">
        <v>151</v>
      </c>
      <c r="B13" s="5" t="s">
        <v>133</v>
      </c>
      <c r="C13" s="6" t="n">
        <v>80540</v>
      </c>
      <c r="D13" s="6" t="n">
        <v>78123</v>
      </c>
      <c r="E13" s="6" t="n">
        <v>27343</v>
      </c>
      <c r="F13" s="7" t="n">
        <v>0.35</v>
      </c>
      <c r="G13" s="5" t="n">
        <v>210</v>
      </c>
      <c r="H13" s="5" t="n">
        <v>4</v>
      </c>
      <c r="I13" s="6" t="n">
        <v>20135</v>
      </c>
      <c r="J13" s="7" t="n">
        <f aca="false">(C13-C12)/C12</f>
        <v>0.116749861342207</v>
      </c>
    </row>
    <row r="14" customFormat="false" ht="15" hidden="false" customHeight="false" outlineLevel="0" collapsed="false">
      <c r="A14" s="8" t="s">
        <v>162</v>
      </c>
      <c r="B14" s="8"/>
      <c r="C14" s="9" t="n">
        <f aca="false">SUM(C2:C13)</f>
        <v>697280</v>
      </c>
      <c r="D14" s="9" t="n">
        <f aca="false">SUM(D2:D13)</f>
        <v>671577</v>
      </c>
      <c r="E14" s="9" t="n">
        <f aca="false">SUM(E2:E13)</f>
        <v>235631</v>
      </c>
      <c r="F14" s="10" t="n">
        <f aca="false">AVERAGE(F2:F13)</f>
        <v>0.35075</v>
      </c>
      <c r="G14" s="8" t="n">
        <f aca="false">SUM(G2:G13)</f>
        <v>1903</v>
      </c>
      <c r="H14" s="8" t="n">
        <f aca="false">SUM(H2:H13)</f>
        <v>48</v>
      </c>
      <c r="I14" s="9" t="n">
        <f aca="false">AVERAGE(I2:I13)</f>
        <v>14526.6666666667</v>
      </c>
      <c r="J14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5"/>
  </cols>
  <sheetData>
    <row r="1" customFormat="false" ht="15" hidden="false" customHeight="false" outlineLevel="0" collapsed="false">
      <c r="A1" s="1" t="s">
        <v>8</v>
      </c>
      <c r="B1" s="1" t="s">
        <v>7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</v>
      </c>
      <c r="H1" s="1" t="s">
        <v>167</v>
      </c>
      <c r="I1" s="1" t="s">
        <v>168</v>
      </c>
      <c r="J1" s="1" t="s">
        <v>169</v>
      </c>
    </row>
    <row r="2" customFormat="false" ht="15" hidden="false" customHeight="false" outlineLevel="0" collapsed="false">
      <c r="A2" s="2" t="s">
        <v>26</v>
      </c>
      <c r="B2" s="2" t="s">
        <v>25</v>
      </c>
      <c r="C2" s="3" t="n">
        <v>182400</v>
      </c>
      <c r="D2" s="2" t="n">
        <v>115</v>
      </c>
      <c r="E2" s="3" t="n">
        <v>3200</v>
      </c>
      <c r="F2" s="3" t="n">
        <v>63840</v>
      </c>
      <c r="G2" s="4" t="n">
        <v>0.35</v>
      </c>
      <c r="H2" s="4" t="n">
        <v>0.276</v>
      </c>
      <c r="I2" s="2" t="s">
        <v>170</v>
      </c>
      <c r="J2" s="4" t="n">
        <v>0.22</v>
      </c>
    </row>
    <row r="3" customFormat="false" ht="15" hidden="false" customHeight="false" outlineLevel="0" collapsed="false">
      <c r="A3" s="5" t="s">
        <v>50</v>
      </c>
      <c r="B3" s="5" t="s">
        <v>49</v>
      </c>
      <c r="C3" s="6" t="n">
        <v>98580</v>
      </c>
      <c r="D3" s="5" t="n">
        <v>267</v>
      </c>
      <c r="E3" s="6" t="n">
        <v>620</v>
      </c>
      <c r="F3" s="6" t="n">
        <v>29574</v>
      </c>
      <c r="G3" s="7" t="n">
        <v>0.3</v>
      </c>
      <c r="H3" s="7" t="n">
        <v>0.149</v>
      </c>
      <c r="I3" s="5" t="s">
        <v>171</v>
      </c>
      <c r="J3" s="7" t="n">
        <v>0.18</v>
      </c>
    </row>
    <row r="4" customFormat="false" ht="15" hidden="false" customHeight="false" outlineLevel="0" collapsed="false">
      <c r="A4" s="2" t="s">
        <v>35</v>
      </c>
      <c r="B4" s="2" t="s">
        <v>34</v>
      </c>
      <c r="C4" s="3" t="n">
        <v>119040</v>
      </c>
      <c r="D4" s="2" t="n">
        <v>415</v>
      </c>
      <c r="E4" s="3" t="n">
        <v>480</v>
      </c>
      <c r="F4" s="3" t="n">
        <v>56549</v>
      </c>
      <c r="G4" s="4" t="n">
        <v>0.475</v>
      </c>
      <c r="H4" s="4" t="n">
        <v>0.18</v>
      </c>
      <c r="I4" s="2" t="s">
        <v>170</v>
      </c>
      <c r="J4" s="4" t="n">
        <v>0.15</v>
      </c>
    </row>
    <row r="5" customFormat="false" ht="15" hidden="false" customHeight="false" outlineLevel="0" collapsed="false">
      <c r="A5" s="5" t="s">
        <v>55</v>
      </c>
      <c r="B5" s="5" t="s">
        <v>25</v>
      </c>
      <c r="C5" s="6" t="n">
        <v>86000</v>
      </c>
      <c r="D5" s="5" t="n">
        <v>225</v>
      </c>
      <c r="E5" s="6" t="n">
        <v>860</v>
      </c>
      <c r="F5" s="6" t="n">
        <v>25800</v>
      </c>
      <c r="G5" s="7" t="n">
        <v>0.3</v>
      </c>
      <c r="H5" s="7" t="n">
        <v>0.13</v>
      </c>
      <c r="I5" s="5" t="s">
        <v>172</v>
      </c>
      <c r="J5" s="7" t="n">
        <v>0.12</v>
      </c>
    </row>
    <row r="6" customFormat="false" ht="15" hidden="false" customHeight="false" outlineLevel="0" collapsed="false">
      <c r="A6" s="2" t="s">
        <v>43</v>
      </c>
      <c r="B6" s="2" t="s">
        <v>42</v>
      </c>
      <c r="C6" s="3" t="n">
        <v>116250</v>
      </c>
      <c r="D6" s="2" t="n">
        <v>310</v>
      </c>
      <c r="E6" s="3" t="n">
        <v>750</v>
      </c>
      <c r="F6" s="3" t="n">
        <v>45338</v>
      </c>
      <c r="G6" s="4" t="n">
        <v>0.39</v>
      </c>
      <c r="H6" s="4" t="n">
        <v>0.176</v>
      </c>
      <c r="I6" s="2" t="s">
        <v>171</v>
      </c>
      <c r="J6" s="4" t="n">
        <v>0.2</v>
      </c>
    </row>
    <row r="7" customFormat="false" ht="15" hidden="false" customHeight="false" outlineLevel="0" collapsed="false">
      <c r="A7" s="5" t="s">
        <v>61</v>
      </c>
      <c r="B7" s="5" t="s">
        <v>34</v>
      </c>
      <c r="C7" s="6" t="n">
        <v>65600</v>
      </c>
      <c r="D7" s="5" t="n">
        <v>490</v>
      </c>
      <c r="E7" s="6" t="n">
        <v>320</v>
      </c>
      <c r="F7" s="6" t="n">
        <v>29520</v>
      </c>
      <c r="G7" s="7" t="n">
        <v>0.45</v>
      </c>
      <c r="H7" s="7" t="n">
        <v>0.099</v>
      </c>
      <c r="I7" s="5" t="s">
        <v>172</v>
      </c>
      <c r="J7" s="7" t="n">
        <v>0.1</v>
      </c>
    </row>
    <row r="8" customFormat="false" ht="15" hidden="false" customHeight="false" outlineLevel="0" collapsed="false">
      <c r="A8" s="2" t="s">
        <v>64</v>
      </c>
      <c r="B8" s="2" t="s">
        <v>42</v>
      </c>
      <c r="C8" s="3" t="n">
        <v>52800</v>
      </c>
      <c r="D8" s="2" t="n">
        <v>300</v>
      </c>
      <c r="E8" s="3" t="n">
        <v>280</v>
      </c>
      <c r="F8" s="3" t="n">
        <v>15840</v>
      </c>
      <c r="G8" s="4" t="n">
        <v>0.3</v>
      </c>
      <c r="H8" s="4" t="n">
        <v>0.08</v>
      </c>
      <c r="I8" s="2" t="s">
        <v>172</v>
      </c>
      <c r="J8" s="4" t="n">
        <v>0.08</v>
      </c>
    </row>
    <row r="9" customFormat="false" ht="15" hidden="false" customHeight="false" outlineLevel="0" collapsed="false">
      <c r="A9" s="5" t="s">
        <v>58</v>
      </c>
      <c r="B9" s="5" t="s">
        <v>49</v>
      </c>
      <c r="C9" s="6" t="n">
        <v>35700</v>
      </c>
      <c r="D9" s="5" t="n">
        <v>170</v>
      </c>
      <c r="E9" s="6" t="n">
        <v>420</v>
      </c>
      <c r="F9" s="6" t="n">
        <v>8925</v>
      </c>
      <c r="G9" s="7" t="n">
        <v>0.25</v>
      </c>
      <c r="H9" s="7" t="n">
        <v>0.054</v>
      </c>
      <c r="I9" s="5" t="s">
        <v>173</v>
      </c>
      <c r="J9" s="7" t="n">
        <v>0.05</v>
      </c>
    </row>
    <row r="10" customFormat="false" ht="15" hidden="false" customHeight="false" outlineLevel="0" collapsed="false">
      <c r="A10" s="8" t="s">
        <v>174</v>
      </c>
      <c r="B10" s="8"/>
      <c r="C10" s="9" t="n">
        <f aca="false">SUM(C2:C9)</f>
        <v>756370</v>
      </c>
      <c r="D10" s="8" t="n">
        <f aca="false">SUM(D2:D9)</f>
        <v>2292</v>
      </c>
      <c r="E10" s="8"/>
      <c r="F10" s="9" t="n">
        <f aca="false">SUM(F2:F9)</f>
        <v>275386</v>
      </c>
      <c r="G10" s="10" t="n">
        <f aca="false">F10/C10</f>
        <v>0.36408900405886</v>
      </c>
      <c r="H10" s="8"/>
      <c r="I10" s="8"/>
      <c r="J10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7"/>
    <col collapsed="false" customWidth="true" hidden="false" outlineLevel="0" max="5" min="4" style="0" width="13"/>
    <col collapsed="false" customWidth="true" hidden="false" outlineLevel="0" max="6" min="6" style="0" width="17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15"/>
  </cols>
  <sheetData>
    <row r="1" customFormat="false" ht="15" hidden="false" customHeight="false" outlineLevel="0" collapsed="false">
      <c r="A1" s="1" t="s">
        <v>6</v>
      </c>
      <c r="B1" s="1" t="s">
        <v>5</v>
      </c>
      <c r="C1" s="1" t="s">
        <v>163</v>
      </c>
      <c r="D1" s="1" t="s">
        <v>175</v>
      </c>
      <c r="E1" s="1" t="s">
        <v>158</v>
      </c>
      <c r="F1" s="1" t="s">
        <v>176</v>
      </c>
      <c r="G1" s="1" t="s">
        <v>177</v>
      </c>
      <c r="H1" s="1" t="s">
        <v>167</v>
      </c>
      <c r="I1" s="1" t="s">
        <v>16</v>
      </c>
      <c r="J1" s="1" t="s">
        <v>178</v>
      </c>
      <c r="K1" s="1" t="s">
        <v>179</v>
      </c>
    </row>
    <row r="2" customFormat="false" ht="15" hidden="false" customHeight="false" outlineLevel="0" collapsed="false">
      <c r="A2" s="2" t="s">
        <v>24</v>
      </c>
      <c r="B2" s="2" t="s">
        <v>23</v>
      </c>
      <c r="C2" s="3" t="n">
        <v>269000</v>
      </c>
      <c r="D2" s="2" t="n">
        <v>290</v>
      </c>
      <c r="E2" s="2" t="n">
        <v>12</v>
      </c>
      <c r="F2" s="3" t="n">
        <v>22417</v>
      </c>
      <c r="G2" s="2" t="s">
        <v>25</v>
      </c>
      <c r="H2" s="4" t="n">
        <v>0.272</v>
      </c>
      <c r="I2" s="4" t="n">
        <v>0.35</v>
      </c>
      <c r="J2" s="3" t="n">
        <v>250000</v>
      </c>
      <c r="K2" s="4" t="n">
        <v>1.076</v>
      </c>
    </row>
    <row r="3" customFormat="false" ht="15" hidden="false" customHeight="false" outlineLevel="0" collapsed="false">
      <c r="A3" s="5" t="s">
        <v>33</v>
      </c>
      <c r="B3" s="5" t="s">
        <v>32</v>
      </c>
      <c r="C3" s="6" t="n">
        <v>197620</v>
      </c>
      <c r="D3" s="5" t="n">
        <v>485</v>
      </c>
      <c r="E3" s="5" t="n">
        <v>12</v>
      </c>
      <c r="F3" s="6" t="n">
        <v>16468</v>
      </c>
      <c r="G3" s="5" t="s">
        <v>34</v>
      </c>
      <c r="H3" s="7" t="n">
        <v>0.2</v>
      </c>
      <c r="I3" s="7" t="n">
        <v>0.34</v>
      </c>
      <c r="J3" s="6" t="n">
        <v>200000</v>
      </c>
      <c r="K3" s="7" t="n">
        <v>0.988</v>
      </c>
    </row>
    <row r="4" customFormat="false" ht="15" hidden="false" customHeight="false" outlineLevel="0" collapsed="false">
      <c r="A4" s="2" t="s">
        <v>41</v>
      </c>
      <c r="B4" s="2" t="s">
        <v>40</v>
      </c>
      <c r="C4" s="3" t="n">
        <v>183420</v>
      </c>
      <c r="D4" s="2" t="n">
        <v>420</v>
      </c>
      <c r="E4" s="2" t="n">
        <v>12</v>
      </c>
      <c r="F4" s="3" t="n">
        <v>15285</v>
      </c>
      <c r="G4" s="2" t="s">
        <v>34</v>
      </c>
      <c r="H4" s="4" t="n">
        <v>0.185</v>
      </c>
      <c r="I4" s="4" t="n">
        <v>0.36</v>
      </c>
      <c r="J4" s="3" t="n">
        <v>180000</v>
      </c>
      <c r="K4" s="4" t="n">
        <v>1.019</v>
      </c>
    </row>
    <row r="5" customFormat="false" ht="15" hidden="false" customHeight="false" outlineLevel="0" collapsed="false">
      <c r="A5" s="5" t="s">
        <v>48</v>
      </c>
      <c r="B5" s="5" t="s">
        <v>47</v>
      </c>
      <c r="C5" s="6" t="n">
        <v>238130</v>
      </c>
      <c r="D5" s="5" t="n">
        <v>398</v>
      </c>
      <c r="E5" s="5" t="n">
        <v>12</v>
      </c>
      <c r="F5" s="6" t="n">
        <v>19844</v>
      </c>
      <c r="G5" s="5" t="s">
        <v>42</v>
      </c>
      <c r="H5" s="7" t="n">
        <v>0.241</v>
      </c>
      <c r="I5" s="7" t="n">
        <v>0.33</v>
      </c>
      <c r="J5" s="6" t="n">
        <v>220000</v>
      </c>
      <c r="K5" s="7" t="n">
        <v>1.082</v>
      </c>
    </row>
    <row r="6" customFormat="false" ht="15" hidden="false" customHeight="false" outlineLevel="0" collapsed="false">
      <c r="A6" s="8" t="s">
        <v>174</v>
      </c>
      <c r="B6" s="8"/>
      <c r="C6" s="9" t="n">
        <f aca="false">SUM(C2:C5)</f>
        <v>888170</v>
      </c>
      <c r="D6" s="8" t="n">
        <f aca="false">SUM(D2:D5)</f>
        <v>1593</v>
      </c>
      <c r="E6" s="8" t="n">
        <f aca="false">SUM(E2:E5)</f>
        <v>48</v>
      </c>
      <c r="F6" s="8"/>
      <c r="G6" s="8"/>
      <c r="H6" s="8"/>
      <c r="I6" s="8"/>
      <c r="J6" s="9" t="n">
        <f aca="false">SUM(J2:J5)</f>
        <v>850000</v>
      </c>
      <c r="K6" s="10" t="n">
        <f aca="false">C6/J6</f>
        <v>1.04490588235294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1" min="2" style="0" width="18"/>
  </cols>
  <sheetData>
    <row r="1" customFormat="false" ht="34.5" hidden="false" customHeight="true" outlineLevel="0" collapsed="false">
      <c r="B1" s="11" t="s">
        <v>180</v>
      </c>
      <c r="C1" s="11"/>
      <c r="D1" s="11"/>
      <c r="E1" s="11"/>
      <c r="F1" s="11"/>
      <c r="G1" s="11"/>
      <c r="H1" s="11"/>
      <c r="I1" s="11"/>
      <c r="J1" s="11"/>
      <c r="K1" s="11"/>
    </row>
    <row r="2" customFormat="false" ht="21.75" hidden="false" customHeight="true" outlineLevel="0" collapsed="false"/>
    <row r="3" customFormat="false" ht="21.75" hidden="false" customHeight="true" outlineLevel="0" collapsed="false">
      <c r="B3" s="12" t="s">
        <v>181</v>
      </c>
      <c r="C3" s="12"/>
      <c r="D3" s="12"/>
      <c r="E3" s="12"/>
      <c r="F3" s="12"/>
      <c r="G3" s="12"/>
      <c r="H3" s="12"/>
      <c r="I3" s="12"/>
      <c r="J3" s="12"/>
      <c r="K3" s="12"/>
    </row>
    <row r="4" customFormat="false" ht="21.75" hidden="false" customHeight="true" outlineLevel="0" collapsed="false">
      <c r="B4" s="13" t="s">
        <v>182</v>
      </c>
      <c r="C4" s="13"/>
      <c r="D4" s="13" t="s">
        <v>183</v>
      </c>
      <c r="E4" s="13"/>
      <c r="F4" s="13" t="s">
        <v>184</v>
      </c>
      <c r="G4" s="13"/>
      <c r="H4" s="13" t="s">
        <v>185</v>
      </c>
      <c r="I4" s="13"/>
      <c r="J4" s="13" t="s">
        <v>158</v>
      </c>
      <c r="K4" s="13"/>
    </row>
    <row r="5" customFormat="false" ht="21.75" hidden="false" customHeight="true" outlineLevel="0" collapsed="false">
      <c r="B5" s="14" t="s">
        <v>186</v>
      </c>
      <c r="C5" s="14"/>
      <c r="D5" s="14" t="s">
        <v>187</v>
      </c>
      <c r="E5" s="14"/>
      <c r="F5" s="14" t="s">
        <v>188</v>
      </c>
      <c r="G5" s="14"/>
      <c r="H5" s="14" t="s">
        <v>189</v>
      </c>
      <c r="I5" s="14"/>
      <c r="J5" s="14" t="s">
        <v>190</v>
      </c>
      <c r="K5" s="14"/>
    </row>
    <row r="6" customFormat="false" ht="21.75" hidden="false" customHeight="true" outlineLevel="0" collapsed="false">
      <c r="B6" s="15" t="s">
        <v>191</v>
      </c>
      <c r="C6" s="15"/>
      <c r="D6" s="15" t="s">
        <v>192</v>
      </c>
      <c r="E6" s="15"/>
      <c r="F6" s="15" t="s">
        <v>193</v>
      </c>
      <c r="G6" s="15"/>
      <c r="H6" s="15" t="s">
        <v>194</v>
      </c>
      <c r="I6" s="15"/>
      <c r="J6" s="15" t="s">
        <v>195</v>
      </c>
      <c r="K6" s="15"/>
    </row>
    <row r="7" customFormat="false" ht="21.75" hidden="false" customHeight="true" outlineLevel="0" collapsed="false"/>
    <row r="8" customFormat="false" ht="21.75" hidden="false" customHeight="true" outlineLevel="0" collapsed="false">
      <c r="B8" s="12" t="s">
        <v>196</v>
      </c>
      <c r="C8" s="12"/>
      <c r="D8" s="12"/>
      <c r="E8" s="12"/>
      <c r="F8" s="12"/>
      <c r="G8" s="12"/>
      <c r="H8" s="12"/>
      <c r="I8" s="12"/>
      <c r="J8" s="12"/>
      <c r="K8" s="12"/>
    </row>
    <row r="9" customFormat="false" ht="21.75" hidden="false" customHeight="true" outlineLevel="0" collapsed="false">
      <c r="B9" s="16" t="s">
        <v>3</v>
      </c>
      <c r="C9" s="16" t="s">
        <v>197</v>
      </c>
      <c r="D9" s="16" t="s">
        <v>183</v>
      </c>
      <c r="E9" s="16" t="s">
        <v>184</v>
      </c>
      <c r="F9" s="16" t="s">
        <v>198</v>
      </c>
      <c r="G9" s="16" t="s">
        <v>199</v>
      </c>
      <c r="H9" s="16" t="s">
        <v>200</v>
      </c>
    </row>
    <row r="10" customFormat="false" ht="21.75" hidden="false" customHeight="true" outlineLevel="0" collapsed="false">
      <c r="B10" s="2" t="s">
        <v>22</v>
      </c>
      <c r="C10" s="3" t="n">
        <v>131920</v>
      </c>
      <c r="D10" s="3" t="n">
        <v>125878</v>
      </c>
      <c r="E10" s="3" t="n">
        <v>45954</v>
      </c>
      <c r="F10" s="4" t="n">
        <v>0.348</v>
      </c>
      <c r="G10" s="2" t="n">
        <v>320</v>
      </c>
      <c r="H10" s="2" t="s">
        <v>161</v>
      </c>
    </row>
    <row r="11" customFormat="false" ht="21.75" hidden="false" customHeight="true" outlineLevel="0" collapsed="false">
      <c r="B11" s="5" t="s">
        <v>77</v>
      </c>
      <c r="C11" s="6" t="n">
        <v>165100</v>
      </c>
      <c r="D11" s="6" t="n">
        <v>158956</v>
      </c>
      <c r="E11" s="6" t="n">
        <v>56095</v>
      </c>
      <c r="F11" s="7" t="n">
        <v>0.353</v>
      </c>
      <c r="G11" s="5" t="n">
        <v>473</v>
      </c>
      <c r="H11" s="5" t="s">
        <v>201</v>
      </c>
    </row>
    <row r="12" customFormat="false" ht="21.75" hidden="false" customHeight="true" outlineLevel="0" collapsed="false">
      <c r="B12" s="2" t="s">
        <v>105</v>
      </c>
      <c r="C12" s="3" t="n">
        <v>180220</v>
      </c>
      <c r="D12" s="3" t="n">
        <v>173736</v>
      </c>
      <c r="E12" s="3" t="n">
        <v>60877</v>
      </c>
      <c r="F12" s="4" t="n">
        <v>0.35</v>
      </c>
      <c r="G12" s="2" t="n">
        <v>502</v>
      </c>
      <c r="H12" s="2" t="s">
        <v>202</v>
      </c>
    </row>
    <row r="13" customFormat="false" ht="21.75" hidden="false" customHeight="true" outlineLevel="0" collapsed="false">
      <c r="B13" s="5" t="s">
        <v>133</v>
      </c>
      <c r="C13" s="6" t="n">
        <v>220040</v>
      </c>
      <c r="D13" s="6" t="n">
        <v>212340</v>
      </c>
      <c r="E13" s="6" t="n">
        <v>74530</v>
      </c>
      <c r="F13" s="7" t="n">
        <v>0.351</v>
      </c>
      <c r="G13" s="5" t="n">
        <v>485</v>
      </c>
      <c r="H13" s="5" t="s">
        <v>203</v>
      </c>
    </row>
    <row r="14" customFormat="false" ht="21.75" hidden="false" customHeight="true" outlineLevel="0" collapsed="false"/>
    <row r="15" customFormat="false" ht="21.75" hidden="false" customHeight="true" outlineLevel="0" collapsed="false">
      <c r="B15" s="12" t="s">
        <v>204</v>
      </c>
      <c r="C15" s="12"/>
      <c r="D15" s="12"/>
      <c r="E15" s="12"/>
      <c r="F15" s="12"/>
      <c r="G15" s="12"/>
      <c r="H15" s="12"/>
      <c r="I15" s="12"/>
      <c r="J15" s="12"/>
      <c r="K15" s="12"/>
    </row>
    <row r="16" customFormat="false" ht="21.75" hidden="false" customHeight="true" outlineLevel="0" collapsed="false">
      <c r="B16" s="16" t="s">
        <v>8</v>
      </c>
      <c r="C16" s="16" t="s">
        <v>7</v>
      </c>
      <c r="D16" s="16" t="s">
        <v>197</v>
      </c>
      <c r="E16" s="16" t="s">
        <v>199</v>
      </c>
      <c r="F16" s="16" t="s">
        <v>198</v>
      </c>
      <c r="G16" s="16" t="s">
        <v>205</v>
      </c>
    </row>
    <row r="17" customFormat="false" ht="21.75" hidden="false" customHeight="true" outlineLevel="0" collapsed="false">
      <c r="B17" s="5" t="s">
        <v>26</v>
      </c>
      <c r="C17" s="5" t="s">
        <v>25</v>
      </c>
      <c r="D17" s="6" t="n">
        <v>182400</v>
      </c>
      <c r="E17" s="5" t="n">
        <v>115</v>
      </c>
      <c r="F17" s="7" t="n">
        <v>0.35</v>
      </c>
      <c r="G17" s="5" t="s">
        <v>170</v>
      </c>
    </row>
    <row r="18" customFormat="false" ht="21.75" hidden="false" customHeight="true" outlineLevel="0" collapsed="false">
      <c r="B18" s="2" t="s">
        <v>35</v>
      </c>
      <c r="C18" s="2" t="s">
        <v>34</v>
      </c>
      <c r="D18" s="3" t="n">
        <v>119040</v>
      </c>
      <c r="E18" s="2" t="n">
        <v>415</v>
      </c>
      <c r="F18" s="4" t="n">
        <v>0.475</v>
      </c>
      <c r="G18" s="2" t="s">
        <v>170</v>
      </c>
    </row>
    <row r="19" customFormat="false" ht="21.75" hidden="false" customHeight="true" outlineLevel="0" collapsed="false">
      <c r="B19" s="5" t="s">
        <v>43</v>
      </c>
      <c r="C19" s="5" t="s">
        <v>42</v>
      </c>
      <c r="D19" s="6" t="n">
        <v>116250</v>
      </c>
      <c r="E19" s="5" t="n">
        <v>310</v>
      </c>
      <c r="F19" s="7" t="n">
        <v>0.39</v>
      </c>
      <c r="G19" s="5" t="s">
        <v>171</v>
      </c>
    </row>
    <row r="20" customFormat="false" ht="21.75" hidden="false" customHeight="true" outlineLevel="0" collapsed="false">
      <c r="B20" s="2" t="s">
        <v>50</v>
      </c>
      <c r="C20" s="2" t="s">
        <v>49</v>
      </c>
      <c r="D20" s="3" t="n">
        <v>98580</v>
      </c>
      <c r="E20" s="2" t="n">
        <v>267</v>
      </c>
      <c r="F20" s="4" t="n">
        <v>0.3</v>
      </c>
      <c r="G20" s="2" t="s">
        <v>171</v>
      </c>
    </row>
    <row r="21" customFormat="false" ht="21.75" hidden="false" customHeight="true" outlineLevel="0" collapsed="false">
      <c r="B21" s="5" t="s">
        <v>55</v>
      </c>
      <c r="C21" s="5" t="s">
        <v>25</v>
      </c>
      <c r="D21" s="6" t="n">
        <v>86000</v>
      </c>
      <c r="E21" s="5" t="n">
        <v>225</v>
      </c>
      <c r="F21" s="7" t="n">
        <v>0.3</v>
      </c>
      <c r="G21" s="5" t="s">
        <v>172</v>
      </c>
    </row>
    <row r="22" customFormat="false" ht="21.75" hidden="false" customHeight="true" outlineLevel="0" collapsed="false"/>
    <row r="23" customFormat="false" ht="21.75" hidden="false" customHeight="true" outlineLevel="0" collapsed="false">
      <c r="B23" s="12" t="s">
        <v>206</v>
      </c>
      <c r="C23" s="12"/>
      <c r="D23" s="12"/>
      <c r="E23" s="12"/>
      <c r="F23" s="12"/>
      <c r="G23" s="12"/>
      <c r="H23" s="12"/>
      <c r="I23" s="12"/>
      <c r="J23" s="12"/>
      <c r="K23" s="12"/>
    </row>
    <row r="24" customFormat="false" ht="21.75" hidden="false" customHeight="true" outlineLevel="0" collapsed="false">
      <c r="B24" s="16" t="s">
        <v>6</v>
      </c>
      <c r="C24" s="16" t="s">
        <v>5</v>
      </c>
      <c r="D24" s="16" t="s">
        <v>197</v>
      </c>
      <c r="E24" s="16" t="s">
        <v>207</v>
      </c>
      <c r="F24" s="16" t="s">
        <v>208</v>
      </c>
      <c r="G24" s="16" t="s">
        <v>198</v>
      </c>
    </row>
    <row r="25" customFormat="false" ht="21.75" hidden="false" customHeight="true" outlineLevel="0" collapsed="false">
      <c r="B25" s="5" t="s">
        <v>24</v>
      </c>
      <c r="C25" s="5" t="s">
        <v>23</v>
      </c>
      <c r="D25" s="6" t="n">
        <v>269000</v>
      </c>
      <c r="E25" s="6" t="n">
        <v>250000</v>
      </c>
      <c r="F25" s="7" t="n">
        <v>1.076</v>
      </c>
      <c r="G25" s="7" t="n">
        <v>0.35</v>
      </c>
    </row>
    <row r="26" customFormat="false" ht="21.75" hidden="false" customHeight="true" outlineLevel="0" collapsed="false">
      <c r="B26" s="2" t="s">
        <v>48</v>
      </c>
      <c r="C26" s="2" t="s">
        <v>47</v>
      </c>
      <c r="D26" s="3" t="n">
        <v>238130</v>
      </c>
      <c r="E26" s="3" t="n">
        <v>220000</v>
      </c>
      <c r="F26" s="4" t="n">
        <v>1.082</v>
      </c>
      <c r="G26" s="4" t="n">
        <v>0.33</v>
      </c>
    </row>
    <row r="27" customFormat="false" ht="21.75" hidden="false" customHeight="true" outlineLevel="0" collapsed="false">
      <c r="B27" s="5" t="s">
        <v>33</v>
      </c>
      <c r="C27" s="5" t="s">
        <v>32</v>
      </c>
      <c r="D27" s="6" t="n">
        <v>197620</v>
      </c>
      <c r="E27" s="6" t="n">
        <v>200000</v>
      </c>
      <c r="F27" s="7" t="n">
        <v>0.988</v>
      </c>
      <c r="G27" s="7" t="n">
        <v>0.34</v>
      </c>
    </row>
    <row r="28" customFormat="false" ht="21.75" hidden="false" customHeight="true" outlineLevel="0" collapsed="false">
      <c r="B28" s="2" t="s">
        <v>41</v>
      </c>
      <c r="C28" s="2" t="s">
        <v>40</v>
      </c>
      <c r="D28" s="3" t="n">
        <v>183420</v>
      </c>
      <c r="E28" s="3" t="n">
        <v>180000</v>
      </c>
      <c r="F28" s="4" t="n">
        <v>1.019</v>
      </c>
      <c r="G28" s="4" t="n">
        <v>0.36</v>
      </c>
    </row>
    <row r="29" customFormat="false" ht="21.75" hidden="false" customHeight="true" outlineLevel="0" collapsed="false"/>
  </sheetData>
  <mergeCells count="20">
    <mergeCell ref="B1:K1"/>
    <mergeCell ref="B3:K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  <mergeCell ref="B8:K8"/>
    <mergeCell ref="B15:K15"/>
    <mergeCell ref="B23:K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2026-06-09T10:54:19Z</dcterms:created>
  <dc:creator>openpyxl</dc:creator>
  <dc:description/>
  <dc:language>en-US</dc:language>
  <cp:lastModifiedBy/>
  <dcterms:modified xsi:type="dcterms:W3CDTF">2026-06-09T10:54:19Z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